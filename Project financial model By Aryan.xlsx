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5345" windowHeight="4545" firstSheet="8" activeTab="10"/>
  </bookViews>
  <sheets>
    <sheet name="Historical Financials" sheetId="1" r:id="rId1"/>
    <sheet name="Comparative Analysis" sheetId="5" r:id="rId2"/>
    <sheet name="Common Size Statement" sheetId="6" r:id="rId3"/>
    <sheet name="Ratio Analysis" sheetId="7" r:id="rId4"/>
    <sheet name="Cash Flow" sheetId="4" r:id="rId5"/>
    <sheet name="Rough Sheet" sheetId="2" r:id="rId6"/>
    <sheet name="Data Sheet" sheetId="3" r:id="rId7"/>
    <sheet name="DuPoint Analysis" sheetId="8" r:id="rId8"/>
    <sheet name="Altman Z Score" sheetId="9" r:id="rId9"/>
    <sheet name="Linear Forecasting" sheetId="10" r:id="rId10"/>
    <sheet name="Scenario Analysis Forecasting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9" i="11" l="1"/>
  <c r="M50" i="11" s="1"/>
  <c r="M56" i="11"/>
  <c r="N56" i="11" s="1"/>
  <c r="D54" i="11"/>
  <c r="E54" i="11"/>
  <c r="F54" i="11"/>
  <c r="G54" i="11"/>
  <c r="H54" i="11"/>
  <c r="I54" i="11"/>
  <c r="J54" i="11"/>
  <c r="K54" i="11"/>
  <c r="L54" i="11"/>
  <c r="C54" i="11"/>
  <c r="E47" i="11"/>
  <c r="F47" i="11"/>
  <c r="G47" i="11"/>
  <c r="H47" i="11"/>
  <c r="I47" i="11"/>
  <c r="J47" i="11"/>
  <c r="K47" i="11"/>
  <c r="L47" i="11"/>
  <c r="D47" i="11"/>
  <c r="M43" i="11"/>
  <c r="M44" i="11" s="1"/>
  <c r="E41" i="11"/>
  <c r="F41" i="11"/>
  <c r="G41" i="11"/>
  <c r="H41" i="11"/>
  <c r="I41" i="11"/>
  <c r="J41" i="11"/>
  <c r="K41" i="11"/>
  <c r="L41" i="11"/>
  <c r="D41" i="11"/>
  <c r="N54" i="11" l="1"/>
  <c r="N57" i="11"/>
  <c r="N55" i="11"/>
  <c r="O56" i="11"/>
  <c r="M55" i="11"/>
  <c r="M54" i="11"/>
  <c r="M57" i="11"/>
  <c r="N49" i="11"/>
  <c r="N43" i="11"/>
  <c r="M48" i="11"/>
  <c r="M47" i="11"/>
  <c r="M46" i="11" s="1"/>
  <c r="M42" i="11"/>
  <c r="M41" i="11"/>
  <c r="M40" i="11" s="1"/>
  <c r="O55" i="11" l="1"/>
  <c r="O54" i="11"/>
  <c r="O57" i="11"/>
  <c r="N50" i="11"/>
  <c r="N48" i="11"/>
  <c r="O49" i="11"/>
  <c r="N47" i="11"/>
  <c r="N46" i="11" s="1"/>
  <c r="N41" i="11"/>
  <c r="N40" i="11" s="1"/>
  <c r="N44" i="11"/>
  <c r="N42" i="11"/>
  <c r="O43" i="11"/>
  <c r="O47" i="11" l="1"/>
  <c r="O46" i="11" s="1"/>
  <c r="O50" i="11"/>
  <c r="O48" i="11"/>
  <c r="O42" i="11"/>
  <c r="O44" i="11"/>
  <c r="O41" i="11"/>
  <c r="O40" i="11" s="1"/>
  <c r="M36" i="11" l="1"/>
  <c r="E34" i="11"/>
  <c r="F34" i="11"/>
  <c r="G34" i="11"/>
  <c r="H34" i="11"/>
  <c r="I34" i="11"/>
  <c r="J34" i="11"/>
  <c r="K34" i="11"/>
  <c r="L34" i="11"/>
  <c r="D34" i="11"/>
  <c r="M34" i="11" l="1"/>
  <c r="M33" i="11" s="1"/>
  <c r="N36" i="11"/>
  <c r="M37" i="11"/>
  <c r="M35" i="11"/>
  <c r="M29" i="11"/>
  <c r="E27" i="11"/>
  <c r="F27" i="11"/>
  <c r="G27" i="11"/>
  <c r="H27" i="11"/>
  <c r="I27" i="11"/>
  <c r="J27" i="11"/>
  <c r="K27" i="11"/>
  <c r="L27" i="11"/>
  <c r="N35" i="11" l="1"/>
  <c r="O36" i="11"/>
  <c r="N34" i="11"/>
  <c r="N37" i="11"/>
  <c r="N33" i="11"/>
  <c r="N29" i="11"/>
  <c r="M28" i="11"/>
  <c r="M30" i="11"/>
  <c r="N27" i="11"/>
  <c r="O29" i="11"/>
  <c r="M27" i="11"/>
  <c r="M26" i="11" s="1"/>
  <c r="D27" i="11"/>
  <c r="M22" i="11"/>
  <c r="N22" i="11" s="1"/>
  <c r="E20" i="11"/>
  <c r="F20" i="11"/>
  <c r="G20" i="11"/>
  <c r="H20" i="11"/>
  <c r="I20" i="11"/>
  <c r="J20" i="11"/>
  <c r="K20" i="11"/>
  <c r="L20" i="11"/>
  <c r="D20" i="11"/>
  <c r="O34" i="11" l="1"/>
  <c r="O35" i="11"/>
  <c r="O37" i="11"/>
  <c r="O33" i="11"/>
  <c r="M32" i="11"/>
  <c r="M39" i="11" s="1"/>
  <c r="M52" i="11" s="1"/>
  <c r="M53" i="11" s="1"/>
  <c r="M59" i="11" s="1"/>
  <c r="N26" i="11"/>
  <c r="O30" i="11"/>
  <c r="O28" i="11"/>
  <c r="N30" i="11"/>
  <c r="N28" i="11"/>
  <c r="O27" i="11"/>
  <c r="N23" i="11"/>
  <c r="N21" i="11"/>
  <c r="O22" i="11"/>
  <c r="N20" i="11"/>
  <c r="M21" i="11"/>
  <c r="M20" i="11"/>
  <c r="M19" i="11" s="1"/>
  <c r="M25" i="11" s="1"/>
  <c r="M23" i="11"/>
  <c r="O26" i="11" l="1"/>
  <c r="O32" i="11" s="1"/>
  <c r="O39" i="11" s="1"/>
  <c r="O52" i="11" s="1"/>
  <c r="N32" i="11"/>
  <c r="N39" i="11" s="1"/>
  <c r="N52" i="11" s="1"/>
  <c r="N19" i="11"/>
  <c r="N25" i="11" s="1"/>
  <c r="O21" i="11"/>
  <c r="O23" i="11"/>
  <c r="O20" i="11"/>
  <c r="O19" i="11" s="1"/>
  <c r="O25" i="11" s="1"/>
  <c r="N53" i="11" l="1"/>
  <c r="N59" i="11" s="1"/>
  <c r="O53" i="11"/>
  <c r="O59" i="11" s="1"/>
  <c r="M16" i="11"/>
  <c r="M14" i="11" l="1"/>
  <c r="M13" i="11" s="1"/>
  <c r="M15" i="11"/>
  <c r="N16" i="11"/>
  <c r="M17" i="11"/>
  <c r="D4" i="1"/>
  <c r="E4" i="1"/>
  <c r="F4" i="1"/>
  <c r="G4" i="1" s="1"/>
  <c r="H4" i="1" s="1"/>
  <c r="I4" i="1" s="1"/>
  <c r="J4" i="1" s="1"/>
  <c r="K4" i="1" s="1"/>
  <c r="L4" i="1" s="1"/>
  <c r="L14" i="11"/>
  <c r="K14" i="11"/>
  <c r="J14" i="11"/>
  <c r="I14" i="11"/>
  <c r="H14" i="11"/>
  <c r="G14" i="11"/>
  <c r="F14" i="11"/>
  <c r="E14" i="11"/>
  <c r="D14" i="11"/>
  <c r="O16" i="11" l="1"/>
  <c r="N17" i="11"/>
  <c r="N15" i="11"/>
  <c r="N14" i="11"/>
  <c r="N13" i="11" s="1"/>
  <c r="D53" i="11"/>
  <c r="E53" i="11"/>
  <c r="F53" i="11"/>
  <c r="G53" i="11"/>
  <c r="H53" i="11"/>
  <c r="I53" i="11"/>
  <c r="J53" i="11"/>
  <c r="K53" i="11"/>
  <c r="L53" i="11"/>
  <c r="C53" i="11"/>
  <c r="D46" i="11"/>
  <c r="E46" i="11"/>
  <c r="F46" i="11"/>
  <c r="G46" i="11"/>
  <c r="H46" i="11"/>
  <c r="I46" i="11"/>
  <c r="J46" i="11"/>
  <c r="K46" i="11"/>
  <c r="L46" i="11"/>
  <c r="C46" i="11"/>
  <c r="D40" i="11"/>
  <c r="E40" i="11"/>
  <c r="F40" i="11"/>
  <c r="G40" i="11"/>
  <c r="H40" i="11"/>
  <c r="I40" i="11"/>
  <c r="J40" i="11"/>
  <c r="K40" i="11"/>
  <c r="L40" i="11"/>
  <c r="C40" i="11"/>
  <c r="D33" i="11"/>
  <c r="E33" i="11"/>
  <c r="F33" i="11"/>
  <c r="G33" i="11"/>
  <c r="H33" i="11"/>
  <c r="I33" i="11"/>
  <c r="J33" i="11"/>
  <c r="K33" i="11"/>
  <c r="L33" i="11"/>
  <c r="C33" i="11"/>
  <c r="D26" i="11"/>
  <c r="E26" i="11"/>
  <c r="F26" i="11"/>
  <c r="G26" i="11"/>
  <c r="H26" i="11"/>
  <c r="I26" i="11"/>
  <c r="J26" i="11"/>
  <c r="K26" i="11"/>
  <c r="L26" i="11"/>
  <c r="C26" i="11"/>
  <c r="D19" i="11"/>
  <c r="E19" i="11"/>
  <c r="F19" i="11"/>
  <c r="G19" i="11"/>
  <c r="H19" i="11"/>
  <c r="I19" i="11"/>
  <c r="J19" i="11"/>
  <c r="K19" i="11"/>
  <c r="L19" i="11"/>
  <c r="C19" i="11"/>
  <c r="D13" i="11"/>
  <c r="D25" i="11" s="1"/>
  <c r="D32" i="11" s="1"/>
  <c r="D39" i="11" s="1"/>
  <c r="D52" i="11" s="1"/>
  <c r="D59" i="11" s="1"/>
  <c r="E13" i="11"/>
  <c r="E25" i="11" s="1"/>
  <c r="E32" i="11" s="1"/>
  <c r="E39" i="11" s="1"/>
  <c r="E52" i="11" s="1"/>
  <c r="E59" i="11" s="1"/>
  <c r="F13" i="11"/>
  <c r="F25" i="11" s="1"/>
  <c r="F32" i="11" s="1"/>
  <c r="F39" i="11" s="1"/>
  <c r="F52" i="11" s="1"/>
  <c r="F59" i="11" s="1"/>
  <c r="G13" i="11"/>
  <c r="G25" i="11" s="1"/>
  <c r="G32" i="11" s="1"/>
  <c r="G39" i="11" s="1"/>
  <c r="G52" i="11" s="1"/>
  <c r="G59" i="11" s="1"/>
  <c r="H13" i="11"/>
  <c r="H25" i="11" s="1"/>
  <c r="H32" i="11" s="1"/>
  <c r="H39" i="11" s="1"/>
  <c r="H52" i="11" s="1"/>
  <c r="H59" i="11" s="1"/>
  <c r="I13" i="11"/>
  <c r="I25" i="11" s="1"/>
  <c r="I32" i="11" s="1"/>
  <c r="I39" i="11" s="1"/>
  <c r="I52" i="11" s="1"/>
  <c r="I59" i="11" s="1"/>
  <c r="J13" i="11"/>
  <c r="J25" i="11" s="1"/>
  <c r="J32" i="11" s="1"/>
  <c r="J39" i="11" s="1"/>
  <c r="J52" i="11" s="1"/>
  <c r="J59" i="11" s="1"/>
  <c r="K13" i="11"/>
  <c r="K25" i="11" s="1"/>
  <c r="K32" i="11" s="1"/>
  <c r="K39" i="11" s="1"/>
  <c r="K52" i="11" s="1"/>
  <c r="K59" i="11" s="1"/>
  <c r="L13" i="11"/>
  <c r="L25" i="11" s="1"/>
  <c r="L32" i="11" s="1"/>
  <c r="L39" i="11" s="1"/>
  <c r="L52" i="11" s="1"/>
  <c r="L59" i="11" s="1"/>
  <c r="C13" i="11"/>
  <c r="C25" i="11" s="1"/>
  <c r="C32" i="11" s="1"/>
  <c r="C39" i="11" s="1"/>
  <c r="C52" i="11" s="1"/>
  <c r="C59" i="11" s="1"/>
  <c r="N11" i="11"/>
  <c r="O11" i="11" s="1"/>
  <c r="D11" i="11"/>
  <c r="E11" i="11" s="1"/>
  <c r="F11" i="11" s="1"/>
  <c r="G11" i="11" s="1"/>
  <c r="H11" i="11" s="1"/>
  <c r="I11" i="11" s="1"/>
  <c r="J11" i="11" s="1"/>
  <c r="K11" i="11" s="1"/>
  <c r="L11" i="11" s="1"/>
  <c r="O14" i="11" l="1"/>
  <c r="O13" i="11" s="1"/>
  <c r="O17" i="11"/>
  <c r="O15" i="11"/>
  <c r="M41" i="10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H42" i="10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41" i="10"/>
  <c r="C41" i="10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M6" i="10" l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L6" i="10"/>
  <c r="L7" i="10" s="1"/>
  <c r="L8" i="10" s="1"/>
  <c r="L9" i="10" s="1"/>
  <c r="L10" i="10" s="1"/>
  <c r="L11" i="10" s="1"/>
  <c r="L12" i="10" s="1"/>
  <c r="L13" i="10" s="1"/>
  <c r="L14" i="10" s="1"/>
  <c r="L15" i="10" s="1"/>
  <c r="L3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6" i="10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G3" i="10"/>
  <c r="B3" i="10"/>
  <c r="G16" i="10" l="1"/>
  <c r="L16" i="10"/>
  <c r="L17" i="10" l="1"/>
  <c r="G17" i="10"/>
  <c r="D75" i="1"/>
  <c r="E75" i="1"/>
  <c r="F75" i="1"/>
  <c r="G75" i="1"/>
  <c r="H75" i="1"/>
  <c r="I75" i="1"/>
  <c r="J75" i="1"/>
  <c r="K75" i="1"/>
  <c r="L75" i="1"/>
  <c r="D76" i="1"/>
  <c r="E76" i="1"/>
  <c r="F76" i="1"/>
  <c r="G76" i="1"/>
  <c r="H76" i="1"/>
  <c r="I76" i="1"/>
  <c r="J76" i="1"/>
  <c r="K76" i="1"/>
  <c r="L76" i="1"/>
  <c r="D77" i="1"/>
  <c r="E77" i="1"/>
  <c r="F77" i="1"/>
  <c r="G77" i="1"/>
  <c r="H77" i="1"/>
  <c r="I77" i="1"/>
  <c r="J77" i="1"/>
  <c r="K77" i="1"/>
  <c r="L77" i="1"/>
  <c r="D78" i="1"/>
  <c r="E78" i="1"/>
  <c r="F78" i="1"/>
  <c r="G78" i="1"/>
  <c r="H78" i="1"/>
  <c r="I78" i="1"/>
  <c r="J78" i="1"/>
  <c r="K78" i="1"/>
  <c r="L78" i="1"/>
  <c r="D79" i="1"/>
  <c r="E79" i="1"/>
  <c r="F79" i="1"/>
  <c r="G79" i="1"/>
  <c r="H79" i="1"/>
  <c r="I79" i="1"/>
  <c r="J79" i="1"/>
  <c r="K79" i="1"/>
  <c r="L79" i="1"/>
  <c r="D80" i="1"/>
  <c r="E80" i="1"/>
  <c r="F80" i="1"/>
  <c r="G80" i="1"/>
  <c r="H80" i="1"/>
  <c r="I80" i="1"/>
  <c r="J80" i="1"/>
  <c r="K80" i="1"/>
  <c r="L80" i="1"/>
  <c r="C80" i="1"/>
  <c r="C79" i="1"/>
  <c r="C78" i="1"/>
  <c r="C77" i="1"/>
  <c r="C76" i="1"/>
  <c r="C81" i="1" s="1"/>
  <c r="C75" i="1"/>
  <c r="D63" i="1"/>
  <c r="D53" i="5" s="1"/>
  <c r="E63" i="1"/>
  <c r="E53" i="5" s="1"/>
  <c r="F63" i="1"/>
  <c r="F53" i="5" s="1"/>
  <c r="G63" i="1"/>
  <c r="G53" i="5" s="1"/>
  <c r="H63" i="1"/>
  <c r="H53" i="5" s="1"/>
  <c r="I63" i="1"/>
  <c r="I53" i="5" s="1"/>
  <c r="J63" i="1"/>
  <c r="J53" i="5" s="1"/>
  <c r="K63" i="1"/>
  <c r="K53" i="5" s="1"/>
  <c r="L63" i="1"/>
  <c r="L53" i="5" s="1"/>
  <c r="D64" i="1"/>
  <c r="D54" i="5" s="1"/>
  <c r="E64" i="1"/>
  <c r="E54" i="5" s="1"/>
  <c r="F64" i="1"/>
  <c r="F54" i="5" s="1"/>
  <c r="G64" i="1"/>
  <c r="G54" i="5" s="1"/>
  <c r="H64" i="1"/>
  <c r="H54" i="5" s="1"/>
  <c r="I64" i="1"/>
  <c r="I54" i="5" s="1"/>
  <c r="J64" i="1"/>
  <c r="J54" i="5" s="1"/>
  <c r="K64" i="1"/>
  <c r="K54" i="5" s="1"/>
  <c r="L64" i="1"/>
  <c r="L54" i="5" s="1"/>
  <c r="D65" i="1"/>
  <c r="D55" i="5" s="1"/>
  <c r="E65" i="1"/>
  <c r="E55" i="5" s="1"/>
  <c r="F65" i="1"/>
  <c r="F55" i="5" s="1"/>
  <c r="G65" i="1"/>
  <c r="G55" i="5" s="1"/>
  <c r="H65" i="1"/>
  <c r="H55" i="5" s="1"/>
  <c r="I65" i="1"/>
  <c r="I55" i="5" s="1"/>
  <c r="J65" i="1"/>
  <c r="J55" i="5" s="1"/>
  <c r="K65" i="1"/>
  <c r="K55" i="5" s="1"/>
  <c r="L65" i="1"/>
  <c r="L55" i="5" s="1"/>
  <c r="D66" i="1"/>
  <c r="D56" i="5" s="1"/>
  <c r="E66" i="1"/>
  <c r="E56" i="5" s="1"/>
  <c r="F66" i="1"/>
  <c r="F56" i="5" s="1"/>
  <c r="G66" i="1"/>
  <c r="G56" i="5" s="1"/>
  <c r="H66" i="1"/>
  <c r="H56" i="5" s="1"/>
  <c r="I66" i="1"/>
  <c r="I56" i="5" s="1"/>
  <c r="J66" i="1"/>
  <c r="J56" i="5" s="1"/>
  <c r="K66" i="1"/>
  <c r="K56" i="5" s="1"/>
  <c r="L66" i="1"/>
  <c r="L56" i="5" s="1"/>
  <c r="D67" i="1"/>
  <c r="D57" i="5" s="1"/>
  <c r="E67" i="1"/>
  <c r="E57" i="5" s="1"/>
  <c r="F67" i="1"/>
  <c r="F57" i="5" s="1"/>
  <c r="G67" i="1"/>
  <c r="G57" i="5" s="1"/>
  <c r="H67" i="1"/>
  <c r="H57" i="5" s="1"/>
  <c r="I67" i="1"/>
  <c r="I57" i="5" s="1"/>
  <c r="J67" i="1"/>
  <c r="J57" i="5" s="1"/>
  <c r="K67" i="1"/>
  <c r="K57" i="5" s="1"/>
  <c r="L67" i="1"/>
  <c r="L57" i="5" s="1"/>
  <c r="D68" i="1"/>
  <c r="D58" i="5" s="1"/>
  <c r="E68" i="1"/>
  <c r="E58" i="5" s="1"/>
  <c r="F68" i="1"/>
  <c r="F58" i="5" s="1"/>
  <c r="G68" i="1"/>
  <c r="G58" i="5" s="1"/>
  <c r="H68" i="1"/>
  <c r="H58" i="5" s="1"/>
  <c r="I68" i="1"/>
  <c r="I58" i="5" s="1"/>
  <c r="J68" i="1"/>
  <c r="J58" i="5" s="1"/>
  <c r="K68" i="1"/>
  <c r="K58" i="5" s="1"/>
  <c r="L68" i="1"/>
  <c r="L58" i="5" s="1"/>
  <c r="D69" i="1"/>
  <c r="D59" i="5" s="1"/>
  <c r="E69" i="1"/>
  <c r="E59" i="5" s="1"/>
  <c r="F69" i="1"/>
  <c r="F59" i="5" s="1"/>
  <c r="G69" i="1"/>
  <c r="G59" i="5" s="1"/>
  <c r="H69" i="1"/>
  <c r="H59" i="5" s="1"/>
  <c r="I69" i="1"/>
  <c r="I59" i="5" s="1"/>
  <c r="J69" i="1"/>
  <c r="J59" i="5" s="1"/>
  <c r="K69" i="1"/>
  <c r="K59" i="5" s="1"/>
  <c r="L69" i="1"/>
  <c r="L59" i="5" s="1"/>
  <c r="D70" i="1"/>
  <c r="D60" i="5" s="1"/>
  <c r="E70" i="1"/>
  <c r="E60" i="5" s="1"/>
  <c r="F70" i="1"/>
  <c r="F60" i="5" s="1"/>
  <c r="G70" i="1"/>
  <c r="G60" i="5" s="1"/>
  <c r="H70" i="1"/>
  <c r="H60" i="5" s="1"/>
  <c r="I70" i="1"/>
  <c r="I60" i="5" s="1"/>
  <c r="J70" i="1"/>
  <c r="J60" i="5" s="1"/>
  <c r="K70" i="1"/>
  <c r="K60" i="5" s="1"/>
  <c r="L70" i="1"/>
  <c r="L60" i="5" s="1"/>
  <c r="D71" i="1"/>
  <c r="D61" i="5" s="1"/>
  <c r="E71" i="1"/>
  <c r="E61" i="5" s="1"/>
  <c r="F71" i="1"/>
  <c r="F61" i="5" s="1"/>
  <c r="G71" i="1"/>
  <c r="G61" i="5" s="1"/>
  <c r="H71" i="1"/>
  <c r="H61" i="5" s="1"/>
  <c r="I71" i="1"/>
  <c r="I61" i="5" s="1"/>
  <c r="J71" i="1"/>
  <c r="J61" i="5" s="1"/>
  <c r="K71" i="1"/>
  <c r="K61" i="5" s="1"/>
  <c r="L71" i="1"/>
  <c r="L61" i="5" s="1"/>
  <c r="C71" i="1"/>
  <c r="C70" i="1"/>
  <c r="C69" i="1"/>
  <c r="C68" i="1"/>
  <c r="C67" i="1"/>
  <c r="C66" i="1"/>
  <c r="C65" i="1"/>
  <c r="C64" i="1"/>
  <c r="C63" i="1"/>
  <c r="D51" i="1"/>
  <c r="E51" i="1"/>
  <c r="F51" i="1"/>
  <c r="G51" i="1"/>
  <c r="H51" i="1"/>
  <c r="I51" i="1"/>
  <c r="J51" i="1"/>
  <c r="K51" i="1"/>
  <c r="L51" i="1"/>
  <c r="D52" i="1"/>
  <c r="E52" i="1"/>
  <c r="F52" i="1"/>
  <c r="G52" i="1"/>
  <c r="H52" i="1"/>
  <c r="I52" i="1"/>
  <c r="J52" i="1"/>
  <c r="K52" i="1"/>
  <c r="L52" i="1"/>
  <c r="D53" i="1"/>
  <c r="E53" i="1"/>
  <c r="F53" i="1"/>
  <c r="G53" i="1"/>
  <c r="H53" i="1"/>
  <c r="I53" i="1"/>
  <c r="J53" i="1"/>
  <c r="K53" i="1"/>
  <c r="L53" i="1"/>
  <c r="D54" i="1"/>
  <c r="E54" i="1"/>
  <c r="F54" i="1"/>
  <c r="G54" i="1"/>
  <c r="H54" i="1"/>
  <c r="I54" i="1"/>
  <c r="J54" i="1"/>
  <c r="K54" i="1"/>
  <c r="L54" i="1"/>
  <c r="D55" i="1"/>
  <c r="E55" i="1"/>
  <c r="F55" i="1"/>
  <c r="G55" i="1"/>
  <c r="H55" i="1"/>
  <c r="I55" i="1"/>
  <c r="J55" i="1"/>
  <c r="K55" i="1"/>
  <c r="L55" i="1"/>
  <c r="D56" i="1"/>
  <c r="E56" i="1"/>
  <c r="F56" i="1"/>
  <c r="G56" i="1"/>
  <c r="H56" i="1"/>
  <c r="I56" i="1"/>
  <c r="J56" i="1"/>
  <c r="K56" i="1"/>
  <c r="L56" i="1"/>
  <c r="D57" i="1"/>
  <c r="E57" i="1"/>
  <c r="F57" i="1"/>
  <c r="G57" i="1"/>
  <c r="H57" i="1"/>
  <c r="I57" i="1"/>
  <c r="J57" i="1"/>
  <c r="K57" i="1"/>
  <c r="L57" i="1"/>
  <c r="D58" i="1"/>
  <c r="E58" i="1"/>
  <c r="F58" i="1"/>
  <c r="G58" i="1"/>
  <c r="H58" i="1"/>
  <c r="I58" i="1"/>
  <c r="J58" i="1"/>
  <c r="K58" i="1"/>
  <c r="L58" i="1"/>
  <c r="D59" i="1"/>
  <c r="E59" i="1"/>
  <c r="F59" i="1"/>
  <c r="G59" i="1"/>
  <c r="H59" i="1"/>
  <c r="I59" i="1"/>
  <c r="J59" i="1"/>
  <c r="K59" i="1"/>
  <c r="L59" i="1"/>
  <c r="C59" i="1"/>
  <c r="C58" i="1"/>
  <c r="C57" i="1"/>
  <c r="C56" i="1"/>
  <c r="C55" i="1"/>
  <c r="C54" i="1"/>
  <c r="C53" i="1"/>
  <c r="C52" i="1"/>
  <c r="C51" i="1"/>
  <c r="D42" i="1"/>
  <c r="E42" i="1"/>
  <c r="F42" i="1"/>
  <c r="G42" i="1"/>
  <c r="H42" i="1"/>
  <c r="I42" i="1"/>
  <c r="J42" i="1"/>
  <c r="K42" i="1"/>
  <c r="L42" i="1"/>
  <c r="D43" i="1"/>
  <c r="E43" i="1"/>
  <c r="F43" i="1"/>
  <c r="G43" i="1"/>
  <c r="H43" i="1"/>
  <c r="I43" i="1"/>
  <c r="J43" i="1"/>
  <c r="K43" i="1"/>
  <c r="L43" i="1"/>
  <c r="D44" i="1"/>
  <c r="E44" i="1"/>
  <c r="F44" i="1"/>
  <c r="G44" i="1"/>
  <c r="H44" i="1"/>
  <c r="I44" i="1"/>
  <c r="J44" i="1"/>
  <c r="K44" i="1"/>
  <c r="L44" i="1"/>
  <c r="C44" i="1"/>
  <c r="C43" i="1"/>
  <c r="C42" i="1"/>
  <c r="D39" i="1"/>
  <c r="E39" i="1"/>
  <c r="F39" i="1"/>
  <c r="G39" i="1"/>
  <c r="H39" i="1"/>
  <c r="I39" i="1"/>
  <c r="J39" i="1"/>
  <c r="K39" i="1"/>
  <c r="L39" i="1"/>
  <c r="C39" i="1"/>
  <c r="D38" i="1"/>
  <c r="E38" i="1"/>
  <c r="F38" i="1"/>
  <c r="G38" i="1"/>
  <c r="H38" i="1"/>
  <c r="I38" i="1"/>
  <c r="J38" i="1"/>
  <c r="K38" i="1"/>
  <c r="L38" i="1"/>
  <c r="C38" i="1"/>
  <c r="D37" i="1"/>
  <c r="E37" i="1"/>
  <c r="F37" i="1"/>
  <c r="G37" i="1"/>
  <c r="H37" i="1"/>
  <c r="I37" i="1"/>
  <c r="J37" i="1"/>
  <c r="K37" i="1"/>
  <c r="L37" i="1"/>
  <c r="C37" i="1"/>
  <c r="D36" i="1"/>
  <c r="E36" i="1"/>
  <c r="F36" i="1"/>
  <c r="G36" i="1"/>
  <c r="H36" i="1"/>
  <c r="I36" i="1"/>
  <c r="J36" i="1"/>
  <c r="K36" i="1"/>
  <c r="L36" i="1"/>
  <c r="C36" i="1"/>
  <c r="D33" i="1"/>
  <c r="E33" i="1"/>
  <c r="F33" i="1"/>
  <c r="G33" i="1"/>
  <c r="H33" i="1"/>
  <c r="I33" i="1"/>
  <c r="J33" i="1"/>
  <c r="K33" i="1"/>
  <c r="L33" i="1"/>
  <c r="C33" i="1"/>
  <c r="D32" i="1"/>
  <c r="E32" i="1"/>
  <c r="F32" i="1"/>
  <c r="G32" i="1"/>
  <c r="H32" i="1"/>
  <c r="I32" i="1"/>
  <c r="J32" i="1"/>
  <c r="K32" i="1"/>
  <c r="L32" i="1"/>
  <c r="C32" i="1"/>
  <c r="D31" i="1"/>
  <c r="E31" i="1"/>
  <c r="F31" i="1"/>
  <c r="G31" i="1"/>
  <c r="H31" i="1"/>
  <c r="I31" i="1"/>
  <c r="J31" i="1"/>
  <c r="K31" i="1"/>
  <c r="L31" i="1"/>
  <c r="C31" i="1"/>
  <c r="D30" i="1"/>
  <c r="E30" i="1"/>
  <c r="F30" i="1"/>
  <c r="G30" i="1"/>
  <c r="H30" i="1"/>
  <c r="I30" i="1"/>
  <c r="J30" i="1"/>
  <c r="K30" i="1"/>
  <c r="L30" i="1"/>
  <c r="C30" i="1"/>
  <c r="D17" i="1"/>
  <c r="E17" i="1"/>
  <c r="F17" i="1"/>
  <c r="G17" i="1"/>
  <c r="H17" i="1"/>
  <c r="I17" i="1"/>
  <c r="J17" i="1"/>
  <c r="K17" i="1"/>
  <c r="L17" i="1"/>
  <c r="C17" i="1"/>
  <c r="D15" i="1"/>
  <c r="E15" i="1"/>
  <c r="F15" i="1"/>
  <c r="G15" i="1"/>
  <c r="H15" i="1"/>
  <c r="I15" i="1"/>
  <c r="J15" i="1"/>
  <c r="K15" i="1"/>
  <c r="L15" i="1"/>
  <c r="C15" i="1"/>
  <c r="D14" i="1"/>
  <c r="E14" i="1"/>
  <c r="F14" i="1"/>
  <c r="G14" i="1"/>
  <c r="H14" i="1"/>
  <c r="I14" i="1"/>
  <c r="J14" i="1"/>
  <c r="K14" i="1"/>
  <c r="L14" i="1"/>
  <c r="C14" i="1"/>
  <c r="D12" i="1"/>
  <c r="E12" i="1"/>
  <c r="F12" i="1"/>
  <c r="G12" i="1"/>
  <c r="H12" i="1"/>
  <c r="I12" i="1"/>
  <c r="J12" i="1"/>
  <c r="K12" i="1"/>
  <c r="L12" i="1"/>
  <c r="C12" i="1"/>
  <c r="D10" i="1"/>
  <c r="E10" i="1"/>
  <c r="F10" i="1"/>
  <c r="G10" i="1"/>
  <c r="H10" i="1"/>
  <c r="I10" i="1"/>
  <c r="J10" i="1"/>
  <c r="K10" i="1"/>
  <c r="L10" i="1"/>
  <c r="C10" i="1"/>
  <c r="D8" i="1"/>
  <c r="E8" i="1"/>
  <c r="F8" i="1"/>
  <c r="G8" i="1"/>
  <c r="H8" i="1"/>
  <c r="I8" i="1"/>
  <c r="J8" i="1"/>
  <c r="K8" i="1"/>
  <c r="L8" i="1"/>
  <c r="C8" i="1"/>
  <c r="D7" i="1"/>
  <c r="E7" i="1"/>
  <c r="F7" i="1"/>
  <c r="G7" i="1"/>
  <c r="H7" i="1"/>
  <c r="I7" i="1"/>
  <c r="J7" i="1"/>
  <c r="K7" i="1"/>
  <c r="L7" i="1"/>
  <c r="C7" i="1"/>
  <c r="C6" i="10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B3" i="9"/>
  <c r="B3" i="8"/>
  <c r="B2" i="7"/>
  <c r="B2" i="6"/>
  <c r="C2" i="5"/>
  <c r="B3" i="1"/>
  <c r="B49" i="1"/>
  <c r="B29" i="1"/>
  <c r="B6" i="1"/>
  <c r="G18" i="10" l="1"/>
  <c r="D5" i="10" a="1"/>
  <c r="L18" i="10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l="1"/>
  <c r="D5" i="10"/>
  <c r="D10" i="10"/>
  <c r="E10" i="10" s="1"/>
  <c r="D14" i="10"/>
  <c r="D11" i="10"/>
  <c r="D8" i="10"/>
  <c r="D12" i="10"/>
  <c r="E12" i="10" s="1"/>
  <c r="D9" i="10"/>
  <c r="D13" i="10"/>
  <c r="D7" i="10"/>
  <c r="D6" i="10"/>
  <c r="E6" i="10" s="1"/>
  <c r="L19" i="10"/>
  <c r="G19" i="10"/>
  <c r="D22" i="9"/>
  <c r="E22" i="9"/>
  <c r="F22" i="9"/>
  <c r="G22" i="9"/>
  <c r="H22" i="9"/>
  <c r="I22" i="9"/>
  <c r="J22" i="9"/>
  <c r="K22" i="9"/>
  <c r="L22" i="9"/>
  <c r="C22" i="9"/>
  <c r="D18" i="9"/>
  <c r="E18" i="9"/>
  <c r="F18" i="9"/>
  <c r="G18" i="9"/>
  <c r="H18" i="9"/>
  <c r="I18" i="9"/>
  <c r="J18" i="9"/>
  <c r="K18" i="9"/>
  <c r="L18" i="9"/>
  <c r="C18" i="9"/>
  <c r="D10" i="9"/>
  <c r="E10" i="9"/>
  <c r="F10" i="9"/>
  <c r="G10" i="9"/>
  <c r="H10" i="9"/>
  <c r="I10" i="9"/>
  <c r="J10" i="9"/>
  <c r="K10" i="9"/>
  <c r="L10" i="9"/>
  <c r="C10" i="9"/>
  <c r="E4" i="9"/>
  <c r="F4" i="9"/>
  <c r="G4" i="9" s="1"/>
  <c r="H4" i="9" s="1"/>
  <c r="I4" i="9" s="1"/>
  <c r="J4" i="9" s="1"/>
  <c r="K4" i="9" s="1"/>
  <c r="L4" i="9" s="1"/>
  <c r="D4" i="9"/>
  <c r="D30" i="8"/>
  <c r="E30" i="8"/>
  <c r="F30" i="8"/>
  <c r="G30" i="8"/>
  <c r="H30" i="8"/>
  <c r="I30" i="8"/>
  <c r="J30" i="8"/>
  <c r="K30" i="8"/>
  <c r="L30" i="8"/>
  <c r="C30" i="8"/>
  <c r="D25" i="8"/>
  <c r="E25" i="8"/>
  <c r="F25" i="8"/>
  <c r="G25" i="8"/>
  <c r="H25" i="8"/>
  <c r="I25" i="8"/>
  <c r="J25" i="8"/>
  <c r="K25" i="8"/>
  <c r="L25" i="8"/>
  <c r="C25" i="8"/>
  <c r="D22" i="8"/>
  <c r="E22" i="8"/>
  <c r="F22" i="8"/>
  <c r="G22" i="8"/>
  <c r="H22" i="8"/>
  <c r="I22" i="8"/>
  <c r="J22" i="8"/>
  <c r="K22" i="8"/>
  <c r="L22" i="8"/>
  <c r="C22" i="8"/>
  <c r="D8" i="8"/>
  <c r="E8" i="8"/>
  <c r="F8" i="8"/>
  <c r="G8" i="8"/>
  <c r="H8" i="8"/>
  <c r="I8" i="8"/>
  <c r="J8" i="8"/>
  <c r="K8" i="8"/>
  <c r="L8" i="8"/>
  <c r="C8" i="8"/>
  <c r="D4" i="8"/>
  <c r="E4" i="8" s="1"/>
  <c r="F4" i="8" s="1"/>
  <c r="G4" i="8" s="1"/>
  <c r="H4" i="8" s="1"/>
  <c r="I4" i="8" s="1"/>
  <c r="J4" i="8" s="1"/>
  <c r="K4" i="8" s="1"/>
  <c r="L4" i="8" s="1"/>
  <c r="D40" i="7"/>
  <c r="E40" i="7"/>
  <c r="F40" i="7"/>
  <c r="G40" i="7"/>
  <c r="H40" i="7"/>
  <c r="I40" i="7"/>
  <c r="J40" i="7"/>
  <c r="K40" i="7"/>
  <c r="L40" i="7"/>
  <c r="C40" i="7"/>
  <c r="D35" i="7"/>
  <c r="E35" i="7"/>
  <c r="F35" i="7"/>
  <c r="G35" i="7"/>
  <c r="H35" i="7"/>
  <c r="I35" i="7"/>
  <c r="J35" i="7"/>
  <c r="K35" i="7"/>
  <c r="L35" i="7"/>
  <c r="C35" i="7"/>
  <c r="D34" i="7"/>
  <c r="E34" i="7"/>
  <c r="F34" i="7"/>
  <c r="G34" i="7"/>
  <c r="H34" i="7"/>
  <c r="I34" i="7"/>
  <c r="J34" i="7"/>
  <c r="K34" i="7"/>
  <c r="L34" i="7"/>
  <c r="C34" i="7"/>
  <c r="D33" i="7"/>
  <c r="D36" i="7" s="1"/>
  <c r="E33" i="7"/>
  <c r="F33" i="7"/>
  <c r="G33" i="7"/>
  <c r="G36" i="7" s="1"/>
  <c r="H33" i="7"/>
  <c r="H36" i="7" s="1"/>
  <c r="I33" i="7"/>
  <c r="J33" i="7"/>
  <c r="K33" i="7"/>
  <c r="K36" i="7" s="1"/>
  <c r="L33" i="7"/>
  <c r="L36" i="7" s="1"/>
  <c r="C33" i="7"/>
  <c r="D29" i="7"/>
  <c r="E29" i="7"/>
  <c r="F29" i="7"/>
  <c r="G29" i="7"/>
  <c r="H29" i="7"/>
  <c r="I29" i="7"/>
  <c r="J29" i="7"/>
  <c r="K29" i="7"/>
  <c r="L29" i="7"/>
  <c r="D30" i="7"/>
  <c r="E30" i="7"/>
  <c r="F30" i="7"/>
  <c r="G30" i="7"/>
  <c r="H30" i="7"/>
  <c r="I30" i="7"/>
  <c r="J30" i="7"/>
  <c r="K30" i="7"/>
  <c r="L30" i="7"/>
  <c r="D28" i="7"/>
  <c r="E28" i="7"/>
  <c r="F28" i="7"/>
  <c r="G28" i="7"/>
  <c r="H28" i="7"/>
  <c r="I28" i="7"/>
  <c r="J28" i="7"/>
  <c r="K28" i="7"/>
  <c r="L28" i="7"/>
  <c r="C28" i="7"/>
  <c r="C29" i="7"/>
  <c r="C30" i="7"/>
  <c r="E7" i="10" l="1"/>
  <c r="E8" i="10"/>
  <c r="N35" i="7"/>
  <c r="E13" i="10"/>
  <c r="E11" i="10"/>
  <c r="D15" i="10"/>
  <c r="E15" i="10" s="1"/>
  <c r="E9" i="10"/>
  <c r="E14" i="10"/>
  <c r="D16" i="10"/>
  <c r="E16" i="10" s="1"/>
  <c r="B17" i="10"/>
  <c r="J36" i="7"/>
  <c r="F36" i="7"/>
  <c r="I36" i="7"/>
  <c r="E36" i="7"/>
  <c r="N36" i="7" s="1"/>
  <c r="N28" i="7"/>
  <c r="C36" i="7"/>
  <c r="N40" i="7"/>
  <c r="O40" i="7"/>
  <c r="N29" i="7"/>
  <c r="O29" i="7"/>
  <c r="O35" i="7"/>
  <c r="N30" i="7"/>
  <c r="O34" i="7"/>
  <c r="O28" i="7"/>
  <c r="N33" i="7"/>
  <c r="O33" i="7"/>
  <c r="O30" i="7"/>
  <c r="N34" i="7"/>
  <c r="D17" i="7"/>
  <c r="E17" i="7"/>
  <c r="F17" i="7"/>
  <c r="G17" i="7"/>
  <c r="H17" i="7"/>
  <c r="I17" i="7"/>
  <c r="J17" i="7"/>
  <c r="K17" i="7"/>
  <c r="L17" i="7"/>
  <c r="D18" i="7"/>
  <c r="E18" i="7"/>
  <c r="F18" i="7"/>
  <c r="G18" i="7"/>
  <c r="H18" i="7"/>
  <c r="I18" i="7"/>
  <c r="J18" i="7"/>
  <c r="K18" i="7"/>
  <c r="L18" i="7"/>
  <c r="C18" i="7"/>
  <c r="C17" i="7"/>
  <c r="O17" i="7" s="1"/>
  <c r="D17" i="10" l="1"/>
  <c r="E17" i="10" s="1"/>
  <c r="B18" i="10"/>
  <c r="N18" i="7"/>
  <c r="O36" i="7"/>
  <c r="N17" i="7"/>
  <c r="O18" i="7"/>
  <c r="L13" i="7"/>
  <c r="L14" i="7"/>
  <c r="L15" i="7"/>
  <c r="D18" i="10" l="1"/>
  <c r="E18" i="10" s="1"/>
  <c r="B19" i="10"/>
  <c r="D19" i="10" s="1"/>
  <c r="E19" i="10" s="1"/>
  <c r="C7" i="5"/>
  <c r="C9" i="5"/>
  <c r="C11" i="5"/>
  <c r="C13" i="5"/>
  <c r="C14" i="5"/>
  <c r="C16" i="5"/>
  <c r="C6" i="5"/>
  <c r="C5" i="7" s="1"/>
  <c r="D3" i="7" l="1"/>
  <c r="E3" i="7" s="1"/>
  <c r="F3" i="7" s="1"/>
  <c r="G3" i="7" s="1"/>
  <c r="H3" i="7" s="1"/>
  <c r="I3" i="7" s="1"/>
  <c r="J3" i="7" s="1"/>
  <c r="K3" i="7" s="1"/>
  <c r="L3" i="7" s="1"/>
  <c r="D36" i="6"/>
  <c r="E36" i="6"/>
  <c r="F36" i="6"/>
  <c r="G36" i="6"/>
  <c r="H36" i="6"/>
  <c r="I36" i="6"/>
  <c r="J36" i="6"/>
  <c r="K36" i="6"/>
  <c r="L36" i="6"/>
  <c r="C36" i="6"/>
  <c r="D16" i="6" l="1"/>
  <c r="E16" i="6"/>
  <c r="F16" i="6"/>
  <c r="G16" i="6"/>
  <c r="H16" i="6"/>
  <c r="I16" i="6"/>
  <c r="J16" i="6"/>
  <c r="K16" i="6"/>
  <c r="L16" i="6"/>
  <c r="D14" i="6"/>
  <c r="E14" i="6"/>
  <c r="F14" i="6"/>
  <c r="G14" i="6"/>
  <c r="H14" i="6"/>
  <c r="I14" i="6"/>
  <c r="J14" i="6"/>
  <c r="K14" i="6"/>
  <c r="L14" i="6"/>
  <c r="D13" i="6"/>
  <c r="E13" i="6"/>
  <c r="F13" i="6"/>
  <c r="G13" i="6"/>
  <c r="H13" i="6"/>
  <c r="I13" i="6"/>
  <c r="J13" i="6"/>
  <c r="K13" i="6"/>
  <c r="L13" i="6"/>
  <c r="D11" i="6"/>
  <c r="E11" i="6"/>
  <c r="F11" i="6"/>
  <c r="G11" i="6"/>
  <c r="H11" i="6"/>
  <c r="I11" i="6"/>
  <c r="J11" i="6"/>
  <c r="K11" i="6"/>
  <c r="L11" i="6"/>
  <c r="D9" i="6"/>
  <c r="E9" i="6"/>
  <c r="F9" i="6"/>
  <c r="G9" i="6"/>
  <c r="H9" i="6"/>
  <c r="I9" i="6"/>
  <c r="J9" i="6"/>
  <c r="K9" i="6"/>
  <c r="L9" i="6"/>
  <c r="C9" i="6"/>
  <c r="C11" i="6"/>
  <c r="C13" i="6"/>
  <c r="C14" i="6"/>
  <c r="C16" i="6"/>
  <c r="D7" i="6"/>
  <c r="E7" i="6"/>
  <c r="F7" i="6"/>
  <c r="G7" i="6"/>
  <c r="H7" i="6"/>
  <c r="I7" i="6"/>
  <c r="J7" i="6"/>
  <c r="K7" i="6"/>
  <c r="L7" i="6"/>
  <c r="C7" i="6"/>
  <c r="D6" i="6"/>
  <c r="E6" i="6"/>
  <c r="F6" i="6"/>
  <c r="G6" i="6"/>
  <c r="H6" i="6"/>
  <c r="I6" i="6"/>
  <c r="J6" i="6"/>
  <c r="K6" i="6"/>
  <c r="L6" i="6"/>
  <c r="C6" i="6"/>
  <c r="D3" i="6"/>
  <c r="E3" i="6" s="1"/>
  <c r="F3" i="6" s="1"/>
  <c r="G3" i="6" s="1"/>
  <c r="H3" i="6" s="1"/>
  <c r="I3" i="6" s="1"/>
  <c r="J3" i="6" s="1"/>
  <c r="K3" i="6" s="1"/>
  <c r="L3" i="6" s="1"/>
  <c r="L70" i="5" l="1"/>
  <c r="K70" i="5"/>
  <c r="J70" i="5"/>
  <c r="I70" i="5"/>
  <c r="H70" i="5"/>
  <c r="G70" i="5"/>
  <c r="F70" i="5"/>
  <c r="E70" i="5"/>
  <c r="D70" i="5"/>
  <c r="L69" i="5"/>
  <c r="K69" i="5"/>
  <c r="J69" i="5"/>
  <c r="I69" i="5"/>
  <c r="H69" i="5"/>
  <c r="G69" i="5"/>
  <c r="F69" i="5"/>
  <c r="E69" i="5"/>
  <c r="D69" i="5"/>
  <c r="L68" i="5"/>
  <c r="K68" i="5"/>
  <c r="J68" i="5"/>
  <c r="I68" i="5"/>
  <c r="H68" i="5"/>
  <c r="G68" i="5"/>
  <c r="F68" i="5"/>
  <c r="E68" i="5"/>
  <c r="D68" i="5"/>
  <c r="L67" i="5"/>
  <c r="K67" i="5"/>
  <c r="J67" i="5"/>
  <c r="I67" i="5"/>
  <c r="H67" i="5"/>
  <c r="G67" i="5"/>
  <c r="F67" i="5"/>
  <c r="E67" i="5"/>
  <c r="D67" i="5"/>
  <c r="L66" i="5"/>
  <c r="K66" i="5"/>
  <c r="J66" i="5"/>
  <c r="I66" i="5"/>
  <c r="H66" i="5"/>
  <c r="G66" i="5"/>
  <c r="F66" i="5"/>
  <c r="E66" i="5"/>
  <c r="D66" i="5"/>
  <c r="L65" i="5"/>
  <c r="K65" i="5"/>
  <c r="J65" i="5"/>
  <c r="I65" i="5"/>
  <c r="H65" i="5"/>
  <c r="G65" i="5"/>
  <c r="F65" i="5"/>
  <c r="E65" i="5"/>
  <c r="D65" i="5"/>
  <c r="L46" i="5"/>
  <c r="K46" i="5"/>
  <c r="J46" i="5"/>
  <c r="I46" i="5"/>
  <c r="H46" i="5"/>
  <c r="G46" i="5"/>
  <c r="F46" i="5"/>
  <c r="E46" i="5"/>
  <c r="D46" i="5"/>
  <c r="F45" i="5"/>
  <c r="D42" i="5" l="1"/>
  <c r="E42" i="5"/>
  <c r="F42" i="5"/>
  <c r="G42" i="5"/>
  <c r="H42" i="5"/>
  <c r="I42" i="5"/>
  <c r="J42" i="5"/>
  <c r="K42" i="5"/>
  <c r="L42" i="5"/>
  <c r="D43" i="5"/>
  <c r="E43" i="5"/>
  <c r="F43" i="5"/>
  <c r="G43" i="5"/>
  <c r="H43" i="5"/>
  <c r="I43" i="5"/>
  <c r="J43" i="5"/>
  <c r="K43" i="5"/>
  <c r="L43" i="5"/>
  <c r="D44" i="5"/>
  <c r="E44" i="5"/>
  <c r="F44" i="5"/>
  <c r="G44" i="5"/>
  <c r="H44" i="5"/>
  <c r="I44" i="5"/>
  <c r="J44" i="5"/>
  <c r="K44" i="5"/>
  <c r="L44" i="5"/>
  <c r="D45" i="5"/>
  <c r="E45" i="5"/>
  <c r="G45" i="5"/>
  <c r="H45" i="5"/>
  <c r="I45" i="5"/>
  <c r="J45" i="5"/>
  <c r="K45" i="5"/>
  <c r="L45" i="5"/>
  <c r="D47" i="5"/>
  <c r="E47" i="5"/>
  <c r="F47" i="5"/>
  <c r="G47" i="5"/>
  <c r="H47" i="5"/>
  <c r="I47" i="5"/>
  <c r="J47" i="5"/>
  <c r="K47" i="5"/>
  <c r="L47" i="5"/>
  <c r="D48" i="5"/>
  <c r="E48" i="5"/>
  <c r="F48" i="5"/>
  <c r="G48" i="5"/>
  <c r="H48" i="5"/>
  <c r="I48" i="5"/>
  <c r="J48" i="5"/>
  <c r="K48" i="5"/>
  <c r="L48" i="5"/>
  <c r="D49" i="5"/>
  <c r="E49" i="5"/>
  <c r="F49" i="5"/>
  <c r="G49" i="5"/>
  <c r="H49" i="5"/>
  <c r="I49" i="5"/>
  <c r="J49" i="5"/>
  <c r="K49" i="5"/>
  <c r="L49" i="5"/>
  <c r="E41" i="5"/>
  <c r="F41" i="5"/>
  <c r="G41" i="5"/>
  <c r="H41" i="5"/>
  <c r="I41" i="5"/>
  <c r="J41" i="5"/>
  <c r="K41" i="5"/>
  <c r="L41" i="5"/>
  <c r="D41" i="5"/>
  <c r="D33" i="5"/>
  <c r="E33" i="5"/>
  <c r="F33" i="5"/>
  <c r="G33" i="5"/>
  <c r="H33" i="5"/>
  <c r="I33" i="5"/>
  <c r="J33" i="5"/>
  <c r="K33" i="5"/>
  <c r="L33" i="5"/>
  <c r="D34" i="5"/>
  <c r="E34" i="5"/>
  <c r="F34" i="5"/>
  <c r="G34" i="5"/>
  <c r="H34" i="5"/>
  <c r="I34" i="5"/>
  <c r="J34" i="5"/>
  <c r="K34" i="5"/>
  <c r="L34" i="5"/>
  <c r="E32" i="5"/>
  <c r="F32" i="5"/>
  <c r="G32" i="5"/>
  <c r="H32" i="5"/>
  <c r="I32" i="5"/>
  <c r="J32" i="5"/>
  <c r="K32" i="5"/>
  <c r="L32" i="5"/>
  <c r="D32" i="5"/>
  <c r="E27" i="5"/>
  <c r="F27" i="5"/>
  <c r="G27" i="5"/>
  <c r="H27" i="5"/>
  <c r="I27" i="5"/>
  <c r="J27" i="5"/>
  <c r="K27" i="5"/>
  <c r="L27" i="5"/>
  <c r="E28" i="5"/>
  <c r="F28" i="5"/>
  <c r="G28" i="5"/>
  <c r="H28" i="5"/>
  <c r="I28" i="5"/>
  <c r="J28" i="5"/>
  <c r="K28" i="5"/>
  <c r="L28" i="5"/>
  <c r="E29" i="5"/>
  <c r="F29" i="5"/>
  <c r="G29" i="5"/>
  <c r="H29" i="5"/>
  <c r="I29" i="5"/>
  <c r="J29" i="5"/>
  <c r="K29" i="5"/>
  <c r="L29" i="5"/>
  <c r="D27" i="5"/>
  <c r="D28" i="5"/>
  <c r="D29" i="5"/>
  <c r="E26" i="5"/>
  <c r="F26" i="5"/>
  <c r="G26" i="5"/>
  <c r="H26" i="5"/>
  <c r="I26" i="5"/>
  <c r="J26" i="5"/>
  <c r="K26" i="5"/>
  <c r="L26" i="5"/>
  <c r="D26" i="5"/>
  <c r="E21" i="5"/>
  <c r="F21" i="5"/>
  <c r="G21" i="5"/>
  <c r="H21" i="5"/>
  <c r="I21" i="5"/>
  <c r="J21" i="5"/>
  <c r="K21" i="5"/>
  <c r="L21" i="5"/>
  <c r="E22" i="5"/>
  <c r="F22" i="5"/>
  <c r="G22" i="5"/>
  <c r="H22" i="5"/>
  <c r="I22" i="5"/>
  <c r="J22" i="5"/>
  <c r="K22" i="5"/>
  <c r="L22" i="5"/>
  <c r="E23" i="5"/>
  <c r="F23" i="5"/>
  <c r="G23" i="5"/>
  <c r="H23" i="5"/>
  <c r="I23" i="5"/>
  <c r="J23" i="5"/>
  <c r="K23" i="5"/>
  <c r="L23" i="5"/>
  <c r="D23" i="5"/>
  <c r="D22" i="5"/>
  <c r="D21" i="5"/>
  <c r="E20" i="5"/>
  <c r="F20" i="5"/>
  <c r="G20" i="5"/>
  <c r="H20" i="5"/>
  <c r="I20" i="5"/>
  <c r="J20" i="5"/>
  <c r="K20" i="5"/>
  <c r="L20" i="5"/>
  <c r="D20" i="5"/>
  <c r="E16" i="5"/>
  <c r="F16" i="5"/>
  <c r="G16" i="5"/>
  <c r="H16" i="5"/>
  <c r="I16" i="5"/>
  <c r="J16" i="5"/>
  <c r="K16" i="5"/>
  <c r="L16" i="5"/>
  <c r="E14" i="5"/>
  <c r="F14" i="5"/>
  <c r="G14" i="5"/>
  <c r="H14" i="5"/>
  <c r="I14" i="5"/>
  <c r="J14" i="5"/>
  <c r="K14" i="5"/>
  <c r="L14" i="5"/>
  <c r="E13" i="5"/>
  <c r="F13" i="5"/>
  <c r="G13" i="5"/>
  <c r="H13" i="5"/>
  <c r="I13" i="5"/>
  <c r="J13" i="5"/>
  <c r="K13" i="5"/>
  <c r="L13" i="5"/>
  <c r="E11" i="5"/>
  <c r="F11" i="5"/>
  <c r="G11" i="5"/>
  <c r="H11" i="5"/>
  <c r="I11" i="5"/>
  <c r="J11" i="5"/>
  <c r="K11" i="5"/>
  <c r="L11" i="5"/>
  <c r="D16" i="5"/>
  <c r="D14" i="5"/>
  <c r="D13" i="5"/>
  <c r="D11" i="5"/>
  <c r="E7" i="5"/>
  <c r="F7" i="5"/>
  <c r="G7" i="5"/>
  <c r="H7" i="5"/>
  <c r="I7" i="5"/>
  <c r="J7" i="5"/>
  <c r="K7" i="5"/>
  <c r="L7" i="5"/>
  <c r="D7" i="5" l="1"/>
  <c r="E6" i="5"/>
  <c r="E5" i="7" s="1"/>
  <c r="F6" i="5"/>
  <c r="F5" i="7" s="1"/>
  <c r="G6" i="5"/>
  <c r="G5" i="7" s="1"/>
  <c r="H6" i="5"/>
  <c r="H5" i="7" s="1"/>
  <c r="I6" i="5"/>
  <c r="I5" i="7" s="1"/>
  <c r="J6" i="5"/>
  <c r="J5" i="7" s="1"/>
  <c r="K6" i="5"/>
  <c r="K5" i="7" s="1"/>
  <c r="L6" i="5"/>
  <c r="L5" i="7" s="1"/>
  <c r="D6" i="5"/>
  <c r="D5" i="7" s="1"/>
  <c r="N5" i="7" l="1"/>
  <c r="O5" i="7"/>
  <c r="D3" i="5"/>
  <c r="E3" i="5" s="1"/>
  <c r="F3" i="5" s="1"/>
  <c r="G3" i="5" s="1"/>
  <c r="H3" i="5" s="1"/>
  <c r="I3" i="5" s="1"/>
  <c r="J3" i="5" s="1"/>
  <c r="K3" i="5" s="1"/>
  <c r="L3" i="5" s="1"/>
  <c r="D81" i="1"/>
  <c r="E81" i="1"/>
  <c r="E71" i="5" s="1"/>
  <c r="F81" i="1"/>
  <c r="G81" i="1"/>
  <c r="G71" i="5" s="1"/>
  <c r="H81" i="1"/>
  <c r="I81" i="1"/>
  <c r="I71" i="5" s="1"/>
  <c r="J81" i="1"/>
  <c r="K81" i="1"/>
  <c r="K71" i="5" s="1"/>
  <c r="L81" i="1"/>
  <c r="J71" i="5" l="1"/>
  <c r="F71" i="5"/>
  <c r="L71" i="5"/>
  <c r="H71" i="5"/>
  <c r="D39" i="6"/>
  <c r="D71" i="5"/>
  <c r="E39" i="6"/>
  <c r="K39" i="6"/>
  <c r="G39" i="6"/>
  <c r="J39" i="6"/>
  <c r="F39" i="6"/>
  <c r="I39" i="6"/>
  <c r="L39" i="6"/>
  <c r="H39" i="6"/>
  <c r="C39" i="6"/>
  <c r="D72" i="1"/>
  <c r="E72" i="1"/>
  <c r="F72" i="1"/>
  <c r="F62" i="5" s="1"/>
  <c r="G72" i="1"/>
  <c r="G62" i="5" s="1"/>
  <c r="H72" i="1"/>
  <c r="H62" i="5" s="1"/>
  <c r="I72" i="1"/>
  <c r="J72" i="1"/>
  <c r="J62" i="5" s="1"/>
  <c r="K72" i="1"/>
  <c r="K62" i="5" s="1"/>
  <c r="L72" i="1"/>
  <c r="L62" i="5" s="1"/>
  <c r="C72" i="1"/>
  <c r="D60" i="1"/>
  <c r="E60" i="1"/>
  <c r="F60" i="1"/>
  <c r="G60" i="1"/>
  <c r="H60" i="1"/>
  <c r="I60" i="1"/>
  <c r="J60" i="1"/>
  <c r="K60" i="1"/>
  <c r="L60" i="1"/>
  <c r="C60" i="1"/>
  <c r="D38" i="6" l="1"/>
  <c r="D38" i="7" s="1"/>
  <c r="D62" i="5"/>
  <c r="I62" i="5"/>
  <c r="E62" i="5"/>
  <c r="K38" i="6"/>
  <c r="K38" i="7" s="1"/>
  <c r="J38" i="6"/>
  <c r="J38" i="7" s="1"/>
  <c r="F38" i="6"/>
  <c r="F38" i="7" s="1"/>
  <c r="G38" i="6"/>
  <c r="G38" i="7" s="1"/>
  <c r="I38" i="6"/>
  <c r="I38" i="7" s="1"/>
  <c r="E38" i="6"/>
  <c r="E38" i="7" s="1"/>
  <c r="L38" i="6"/>
  <c r="L38" i="7" s="1"/>
  <c r="H38" i="6"/>
  <c r="H38" i="7" s="1"/>
  <c r="C38" i="6"/>
  <c r="C38" i="7" s="1"/>
  <c r="I37" i="6"/>
  <c r="I50" i="5"/>
  <c r="I83" i="1"/>
  <c r="I73" i="5" s="1"/>
  <c r="D37" i="6"/>
  <c r="D83" i="1"/>
  <c r="G37" i="6"/>
  <c r="G50" i="5"/>
  <c r="G83" i="1"/>
  <c r="E37" i="6"/>
  <c r="E50" i="5"/>
  <c r="E83" i="1"/>
  <c r="E73" i="5" s="1"/>
  <c r="L37" i="6"/>
  <c r="L50" i="5"/>
  <c r="L83" i="1"/>
  <c r="L73" i="5" s="1"/>
  <c r="H37" i="6"/>
  <c r="H50" i="5"/>
  <c r="H83" i="1"/>
  <c r="H73" i="5" s="1"/>
  <c r="K37" i="6"/>
  <c r="K50" i="5"/>
  <c r="K83" i="1"/>
  <c r="J37" i="6"/>
  <c r="J50" i="5"/>
  <c r="J83" i="1"/>
  <c r="J73" i="5" s="1"/>
  <c r="F37" i="6"/>
  <c r="F50" i="5"/>
  <c r="F83" i="1"/>
  <c r="F73" i="5" s="1"/>
  <c r="C37" i="6"/>
  <c r="D50" i="5"/>
  <c r="C83" i="1"/>
  <c r="D45" i="1"/>
  <c r="D6" i="9" s="1"/>
  <c r="E45" i="1"/>
  <c r="F45" i="1"/>
  <c r="G45" i="1"/>
  <c r="H45" i="1"/>
  <c r="I45" i="1"/>
  <c r="J45" i="1"/>
  <c r="K45" i="1"/>
  <c r="L45" i="1"/>
  <c r="C45" i="1"/>
  <c r="D40" i="1"/>
  <c r="E40" i="1"/>
  <c r="F40" i="1"/>
  <c r="G40" i="1"/>
  <c r="H40" i="1"/>
  <c r="I40" i="1"/>
  <c r="J40" i="1"/>
  <c r="K40" i="1"/>
  <c r="L40" i="1"/>
  <c r="C40" i="1"/>
  <c r="D40" i="6" l="1"/>
  <c r="D73" i="5"/>
  <c r="K73" i="5"/>
  <c r="G73" i="5"/>
  <c r="O38" i="7"/>
  <c r="N38" i="7"/>
  <c r="E40" i="6"/>
  <c r="I40" i="6"/>
  <c r="F40" i="6"/>
  <c r="L40" i="6"/>
  <c r="K40" i="6"/>
  <c r="G40" i="6"/>
  <c r="J40" i="6"/>
  <c r="H40" i="6"/>
  <c r="C40" i="6"/>
  <c r="K6" i="9"/>
  <c r="K35" i="5"/>
  <c r="E6" i="9"/>
  <c r="E35" i="5"/>
  <c r="G6" i="9"/>
  <c r="G35" i="5"/>
  <c r="J6" i="9"/>
  <c r="J35" i="5"/>
  <c r="F6" i="9"/>
  <c r="F35" i="5"/>
  <c r="I6" i="9"/>
  <c r="I35" i="5"/>
  <c r="L6" i="9"/>
  <c r="L35" i="5"/>
  <c r="H6" i="9"/>
  <c r="H35" i="5"/>
  <c r="C6" i="9"/>
  <c r="D35" i="5"/>
  <c r="L30" i="5"/>
  <c r="I47" i="1"/>
  <c r="I31" i="6" s="1"/>
  <c r="I30" i="5"/>
  <c r="E47" i="1"/>
  <c r="E30" i="5"/>
  <c r="H30" i="5"/>
  <c r="K30" i="5"/>
  <c r="G30" i="5"/>
  <c r="J47" i="1"/>
  <c r="J30" i="5"/>
  <c r="F47" i="1"/>
  <c r="F31" i="6" s="1"/>
  <c r="F30" i="5"/>
  <c r="C47" i="1"/>
  <c r="C31" i="6" s="1"/>
  <c r="D30" i="5"/>
  <c r="D47" i="1"/>
  <c r="D31" i="6" s="1"/>
  <c r="L47" i="1"/>
  <c r="H47" i="1"/>
  <c r="K47" i="1"/>
  <c r="G47" i="1"/>
  <c r="G31" i="6" s="1"/>
  <c r="D34" i="1"/>
  <c r="E34" i="1"/>
  <c r="F34" i="1"/>
  <c r="G34" i="1"/>
  <c r="H34" i="1"/>
  <c r="I34" i="1"/>
  <c r="J34" i="1"/>
  <c r="K34" i="1"/>
  <c r="L34" i="1"/>
  <c r="C34" i="1"/>
  <c r="K15" i="9" l="1"/>
  <c r="K11" i="9"/>
  <c r="K12" i="9" s="1"/>
  <c r="K26" i="8"/>
  <c r="K27" i="8" s="1"/>
  <c r="K31" i="7"/>
  <c r="K39" i="7"/>
  <c r="K7" i="9"/>
  <c r="K8" i="9" s="1"/>
  <c r="K23" i="9"/>
  <c r="K24" i="9" s="1"/>
  <c r="K29" i="8"/>
  <c r="K31" i="8" s="1"/>
  <c r="K26" i="6"/>
  <c r="K21" i="6"/>
  <c r="K29" i="6"/>
  <c r="K23" i="6"/>
  <c r="K27" i="6"/>
  <c r="K28" i="6"/>
  <c r="K32" i="6"/>
  <c r="K22" i="6"/>
  <c r="K33" i="6"/>
  <c r="K30" i="6"/>
  <c r="K24" i="6"/>
  <c r="K37" i="5"/>
  <c r="J39" i="7"/>
  <c r="J7" i="9"/>
  <c r="J8" i="9" s="1"/>
  <c r="J23" i="9"/>
  <c r="J24" i="9" s="1"/>
  <c r="J29" i="8"/>
  <c r="J31" i="8" s="1"/>
  <c r="J15" i="9"/>
  <c r="J11" i="9"/>
  <c r="J12" i="9" s="1"/>
  <c r="J26" i="8"/>
  <c r="J27" i="8" s="1"/>
  <c r="J31" i="7"/>
  <c r="J28" i="6"/>
  <c r="J32" i="6"/>
  <c r="J22" i="6"/>
  <c r="J26" i="6"/>
  <c r="J29" i="6"/>
  <c r="J33" i="6"/>
  <c r="J23" i="6"/>
  <c r="J30" i="6"/>
  <c r="J27" i="6"/>
  <c r="J24" i="6"/>
  <c r="J21" i="6"/>
  <c r="J37" i="5"/>
  <c r="E29" i="8"/>
  <c r="E31" i="8" s="1"/>
  <c r="E7" i="9"/>
  <c r="E8" i="9" s="1"/>
  <c r="E23" i="9"/>
  <c r="E24" i="9" s="1"/>
  <c r="E15" i="9"/>
  <c r="E11" i="9"/>
  <c r="E12" i="9" s="1"/>
  <c r="E26" i="8"/>
  <c r="E27" i="8" s="1"/>
  <c r="E31" i="7"/>
  <c r="E39" i="7"/>
  <c r="E29" i="6"/>
  <c r="E33" i="6"/>
  <c r="E23" i="6"/>
  <c r="E26" i="6"/>
  <c r="E21" i="6"/>
  <c r="E32" i="6"/>
  <c r="E30" i="6"/>
  <c r="E27" i="6"/>
  <c r="E24" i="6"/>
  <c r="E28" i="6"/>
  <c r="E22" i="6"/>
  <c r="E37" i="5"/>
  <c r="K31" i="6"/>
  <c r="H7" i="9"/>
  <c r="H8" i="9" s="1"/>
  <c r="H23" i="9"/>
  <c r="H24" i="9" s="1"/>
  <c r="H29" i="8"/>
  <c r="H31" i="8" s="1"/>
  <c r="H26" i="8"/>
  <c r="H27" i="8" s="1"/>
  <c r="H15" i="9"/>
  <c r="H11" i="9"/>
  <c r="H12" i="9" s="1"/>
  <c r="H31" i="7"/>
  <c r="H39" i="7"/>
  <c r="H30" i="6"/>
  <c r="H27" i="6"/>
  <c r="H24" i="6"/>
  <c r="H28" i="6"/>
  <c r="H32" i="6"/>
  <c r="H29" i="6"/>
  <c r="H23" i="6"/>
  <c r="H26" i="6"/>
  <c r="H21" i="6"/>
  <c r="H22" i="6"/>
  <c r="H33" i="6"/>
  <c r="H37" i="5"/>
  <c r="F39" i="7"/>
  <c r="F7" i="9"/>
  <c r="F8" i="9" s="1"/>
  <c r="F23" i="9"/>
  <c r="F24" i="9" s="1"/>
  <c r="F29" i="8"/>
  <c r="F31" i="8" s="1"/>
  <c r="F15" i="9"/>
  <c r="F11" i="9"/>
  <c r="F12" i="9" s="1"/>
  <c r="F26" i="8"/>
  <c r="F27" i="8" s="1"/>
  <c r="F31" i="7"/>
  <c r="F28" i="6"/>
  <c r="F32" i="6"/>
  <c r="F22" i="6"/>
  <c r="F30" i="6"/>
  <c r="F27" i="6"/>
  <c r="F21" i="6"/>
  <c r="F29" i="6"/>
  <c r="F33" i="6"/>
  <c r="F23" i="6"/>
  <c r="F24" i="6"/>
  <c r="F26" i="6"/>
  <c r="F37" i="5"/>
  <c r="E31" i="6"/>
  <c r="I7" i="9"/>
  <c r="I8" i="9" s="1"/>
  <c r="I23" i="9"/>
  <c r="I24" i="9" s="1"/>
  <c r="I29" i="8"/>
  <c r="I31" i="8" s="1"/>
  <c r="I15" i="9"/>
  <c r="I11" i="9"/>
  <c r="I12" i="9" s="1"/>
  <c r="I26" i="8"/>
  <c r="I27" i="8" s="1"/>
  <c r="I31" i="7"/>
  <c r="I39" i="7"/>
  <c r="I29" i="6"/>
  <c r="I33" i="6"/>
  <c r="I23" i="6"/>
  <c r="I28" i="6"/>
  <c r="I22" i="6"/>
  <c r="I30" i="6"/>
  <c r="I27" i="6"/>
  <c r="I24" i="6"/>
  <c r="I26" i="6"/>
  <c r="I21" i="6"/>
  <c r="I32" i="6"/>
  <c r="I37" i="5"/>
  <c r="L7" i="9"/>
  <c r="L8" i="9" s="1"/>
  <c r="L23" i="9"/>
  <c r="L24" i="9" s="1"/>
  <c r="L29" i="8"/>
  <c r="L31" i="8" s="1"/>
  <c r="L11" i="9"/>
  <c r="L12" i="9" s="1"/>
  <c r="L26" i="8"/>
  <c r="L27" i="8" s="1"/>
  <c r="L15" i="9"/>
  <c r="L31" i="7"/>
  <c r="L39" i="7"/>
  <c r="L30" i="6"/>
  <c r="L27" i="6"/>
  <c r="L24" i="6"/>
  <c r="L28" i="6"/>
  <c r="L22" i="6"/>
  <c r="L33" i="6"/>
  <c r="L26" i="6"/>
  <c r="L21" i="6"/>
  <c r="L32" i="6"/>
  <c r="L29" i="6"/>
  <c r="L23" i="6"/>
  <c r="L37" i="5"/>
  <c r="G15" i="9"/>
  <c r="G11" i="9"/>
  <c r="G12" i="9" s="1"/>
  <c r="G26" i="8"/>
  <c r="G27" i="8" s="1"/>
  <c r="G31" i="7"/>
  <c r="G39" i="7"/>
  <c r="G7" i="9"/>
  <c r="G8" i="9" s="1"/>
  <c r="G23" i="9"/>
  <c r="G24" i="9" s="1"/>
  <c r="G29" i="8"/>
  <c r="G31" i="8" s="1"/>
  <c r="G26" i="6"/>
  <c r="G21" i="6"/>
  <c r="G29" i="6"/>
  <c r="G33" i="6"/>
  <c r="G30" i="6"/>
  <c r="G24" i="6"/>
  <c r="G28" i="6"/>
  <c r="G32" i="6"/>
  <c r="G22" i="6"/>
  <c r="G23" i="6"/>
  <c r="G27" i="6"/>
  <c r="G37" i="5"/>
  <c r="D7" i="9"/>
  <c r="D8" i="9" s="1"/>
  <c r="D23" i="9"/>
  <c r="D24" i="9" s="1"/>
  <c r="D29" i="8"/>
  <c r="D31" i="8" s="1"/>
  <c r="D26" i="8"/>
  <c r="D27" i="8" s="1"/>
  <c r="D15" i="9"/>
  <c r="D11" i="9"/>
  <c r="D12" i="9" s="1"/>
  <c r="D31" i="7"/>
  <c r="D39" i="7"/>
  <c r="D30" i="6"/>
  <c r="D27" i="6"/>
  <c r="D24" i="6"/>
  <c r="D28" i="6"/>
  <c r="D22" i="6"/>
  <c r="D33" i="6"/>
  <c r="D26" i="6"/>
  <c r="D21" i="6"/>
  <c r="D32" i="6"/>
  <c r="D29" i="6"/>
  <c r="D23" i="6"/>
  <c r="J31" i="6"/>
  <c r="H31" i="6"/>
  <c r="L31" i="6"/>
  <c r="C7" i="9"/>
  <c r="C8" i="9" s="1"/>
  <c r="C15" i="9"/>
  <c r="C29" i="8"/>
  <c r="C31" i="8" s="1"/>
  <c r="C31" i="7"/>
  <c r="C39" i="7"/>
  <c r="C11" i="9"/>
  <c r="C12" i="9" s="1"/>
  <c r="C26" i="8"/>
  <c r="C27" i="8" s="1"/>
  <c r="C23" i="9"/>
  <c r="C24" i="9" s="1"/>
  <c r="C29" i="6"/>
  <c r="C33" i="6"/>
  <c r="C22" i="6"/>
  <c r="C26" i="6"/>
  <c r="C23" i="6"/>
  <c r="C21" i="6"/>
  <c r="C27" i="6"/>
  <c r="C28" i="6"/>
  <c r="C30" i="6"/>
  <c r="C32" i="6"/>
  <c r="C24" i="6"/>
  <c r="D37" i="5"/>
  <c r="D19" i="9"/>
  <c r="D20" i="9" s="1"/>
  <c r="D20" i="6"/>
  <c r="J19" i="9"/>
  <c r="J20" i="9" s="1"/>
  <c r="J20" i="6"/>
  <c r="J24" i="5"/>
  <c r="F19" i="9"/>
  <c r="F20" i="9" s="1"/>
  <c r="F20" i="6"/>
  <c r="F24" i="5"/>
  <c r="I19" i="9"/>
  <c r="I20" i="9" s="1"/>
  <c r="I20" i="6"/>
  <c r="I24" i="5"/>
  <c r="E19" i="9"/>
  <c r="E20" i="9" s="1"/>
  <c r="E20" i="6"/>
  <c r="E24" i="5"/>
  <c r="L19" i="9"/>
  <c r="L20" i="9" s="1"/>
  <c r="L20" i="6"/>
  <c r="L24" i="5"/>
  <c r="H19" i="9"/>
  <c r="H20" i="9" s="1"/>
  <c r="H20" i="6"/>
  <c r="H24" i="5"/>
  <c r="K19" i="9"/>
  <c r="K20" i="9" s="1"/>
  <c r="K20" i="6"/>
  <c r="K24" i="5"/>
  <c r="G19" i="9"/>
  <c r="G20" i="9" s="1"/>
  <c r="G20" i="6"/>
  <c r="G24" i="5"/>
  <c r="C19" i="9"/>
  <c r="C20" i="9" s="1"/>
  <c r="C20" i="6"/>
  <c r="D24" i="5"/>
  <c r="C20" i="1"/>
  <c r="C24" i="1" s="1"/>
  <c r="C9" i="7" s="1"/>
  <c r="D20" i="1"/>
  <c r="D24" i="1" s="1"/>
  <c r="D9" i="7" s="1"/>
  <c r="E20" i="1"/>
  <c r="F20" i="1"/>
  <c r="G20" i="1"/>
  <c r="G24" i="1" s="1"/>
  <c r="H20" i="1"/>
  <c r="H24" i="1" s="1"/>
  <c r="H9" i="7" s="1"/>
  <c r="I20" i="1"/>
  <c r="J20" i="1"/>
  <c r="K20" i="1"/>
  <c r="K24" i="1" s="1"/>
  <c r="L20" i="1"/>
  <c r="L24" i="1" s="1"/>
  <c r="L9" i="7" s="1"/>
  <c r="N31" i="7" l="1"/>
  <c r="O31" i="7"/>
  <c r="O39" i="7"/>
  <c r="N39" i="7"/>
  <c r="J24" i="1"/>
  <c r="F24" i="1"/>
  <c r="I24" i="1"/>
  <c r="I9" i="7" s="1"/>
  <c r="E24" i="1"/>
  <c r="E9" i="7" s="1"/>
  <c r="C19" i="2"/>
  <c r="D19" i="2"/>
  <c r="E19" i="2"/>
  <c r="F19" i="2"/>
  <c r="G19" i="2"/>
  <c r="H19" i="2"/>
  <c r="I19" i="2"/>
  <c r="J19" i="2"/>
  <c r="K19" i="2"/>
  <c r="B19" i="2"/>
  <c r="F9" i="7" l="1"/>
  <c r="G9" i="7"/>
  <c r="J9" i="7"/>
  <c r="K9" i="7"/>
  <c r="C8" i="2"/>
  <c r="D8" i="2"/>
  <c r="E8" i="2"/>
  <c r="F8" i="2"/>
  <c r="G8" i="2"/>
  <c r="H8" i="2"/>
  <c r="I8" i="2"/>
  <c r="J8" i="2"/>
  <c r="K8" i="2"/>
  <c r="B8" i="2"/>
  <c r="C13" i="2"/>
  <c r="D13" i="2"/>
  <c r="E13" i="2"/>
  <c r="F13" i="2"/>
  <c r="G13" i="2"/>
  <c r="H13" i="2"/>
  <c r="I13" i="2"/>
  <c r="J13" i="2"/>
  <c r="K13" i="2"/>
  <c r="B13" i="2"/>
  <c r="N9" i="7" l="1"/>
  <c r="O9" i="7"/>
  <c r="D9" i="1"/>
  <c r="E9" i="1"/>
  <c r="F9" i="1"/>
  <c r="G9" i="1"/>
  <c r="H9" i="1"/>
  <c r="I9" i="1"/>
  <c r="J9" i="1"/>
  <c r="K9" i="1"/>
  <c r="L9" i="1"/>
  <c r="C9" i="1"/>
  <c r="K11" i="1" l="1"/>
  <c r="K8" i="6"/>
  <c r="K11" i="7" s="1"/>
  <c r="K8" i="5"/>
  <c r="L9" i="5"/>
  <c r="E11" i="1"/>
  <c r="E8" i="6"/>
  <c r="E11" i="7" s="1"/>
  <c r="F9" i="5"/>
  <c r="E8" i="5"/>
  <c r="G11" i="1"/>
  <c r="G8" i="6"/>
  <c r="G11" i="7" s="1"/>
  <c r="G8" i="5"/>
  <c r="H9" i="5"/>
  <c r="J11" i="1"/>
  <c r="J8" i="6"/>
  <c r="J11" i="7" s="1"/>
  <c r="J8" i="5"/>
  <c r="K9" i="5"/>
  <c r="F11" i="1"/>
  <c r="F8" i="6"/>
  <c r="F11" i="7" s="1"/>
  <c r="F8" i="5"/>
  <c r="G9" i="5"/>
  <c r="I11" i="1"/>
  <c r="I8" i="6"/>
  <c r="I11" i="7" s="1"/>
  <c r="J9" i="5"/>
  <c r="I8" i="5"/>
  <c r="L11" i="1"/>
  <c r="L8" i="6"/>
  <c r="L11" i="7" s="1"/>
  <c r="L8" i="5"/>
  <c r="H11" i="1"/>
  <c r="H8" i="6"/>
  <c r="H11" i="7" s="1"/>
  <c r="I9" i="5"/>
  <c r="H8" i="5"/>
  <c r="D11" i="1"/>
  <c r="D8" i="6"/>
  <c r="D11" i="7" s="1"/>
  <c r="E9" i="5"/>
  <c r="C11" i="1"/>
  <c r="I5" i="10" s="1" a="1"/>
  <c r="C8" i="5"/>
  <c r="C8" i="6"/>
  <c r="C11" i="7" s="1"/>
  <c r="D9" i="5"/>
  <c r="D8" i="5"/>
  <c r="I5" i="10" l="1"/>
  <c r="I7" i="10"/>
  <c r="I13" i="10"/>
  <c r="J13" i="10" s="1"/>
  <c r="I12" i="10"/>
  <c r="J12" i="10" s="1"/>
  <c r="I14" i="10"/>
  <c r="I9" i="10"/>
  <c r="I8" i="10"/>
  <c r="J8" i="10" s="1"/>
  <c r="I10" i="10"/>
  <c r="J10" i="10" s="1"/>
  <c r="I11" i="10"/>
  <c r="I6" i="10"/>
  <c r="J6" i="10" s="1"/>
  <c r="H13" i="1"/>
  <c r="H19" i="7"/>
  <c r="H10" i="6"/>
  <c r="H12" i="7" s="1"/>
  <c r="H10" i="5"/>
  <c r="H6" i="7" s="1"/>
  <c r="D13" i="1"/>
  <c r="D19" i="7"/>
  <c r="D10" i="6"/>
  <c r="D12" i="7" s="1"/>
  <c r="L13" i="1"/>
  <c r="L19" i="7"/>
  <c r="L10" i="6"/>
  <c r="L12" i="7" s="1"/>
  <c r="L10" i="5"/>
  <c r="L6" i="7" s="1"/>
  <c r="I13" i="1"/>
  <c r="I19" i="7"/>
  <c r="I10" i="6"/>
  <c r="I12" i="7" s="1"/>
  <c r="I10" i="5"/>
  <c r="I6" i="7" s="1"/>
  <c r="F13" i="1"/>
  <c r="F19" i="7"/>
  <c r="F10" i="6"/>
  <c r="F12" i="7" s="1"/>
  <c r="F10" i="5"/>
  <c r="F6" i="7" s="1"/>
  <c r="J13" i="1"/>
  <c r="J19" i="7"/>
  <c r="J10" i="6"/>
  <c r="J12" i="7" s="1"/>
  <c r="J10" i="5"/>
  <c r="J6" i="7" s="1"/>
  <c r="G13" i="1"/>
  <c r="G19" i="7"/>
  <c r="G10" i="6"/>
  <c r="G12" i="7" s="1"/>
  <c r="G10" i="5"/>
  <c r="G6" i="7" s="1"/>
  <c r="E13" i="1"/>
  <c r="E19" i="7"/>
  <c r="E10" i="6"/>
  <c r="E12" i="7" s="1"/>
  <c r="E10" i="5"/>
  <c r="E6" i="7" s="1"/>
  <c r="K13" i="1"/>
  <c r="K19" i="7"/>
  <c r="K10" i="6"/>
  <c r="K12" i="7" s="1"/>
  <c r="K10" i="5"/>
  <c r="K6" i="7" s="1"/>
  <c r="N11" i="7"/>
  <c r="O11" i="7"/>
  <c r="C13" i="1"/>
  <c r="C19" i="7"/>
  <c r="C10" i="5"/>
  <c r="C6" i="7" s="1"/>
  <c r="C10" i="6"/>
  <c r="C12" i="7" s="1"/>
  <c r="D10" i="5"/>
  <c r="D6" i="7" s="1"/>
  <c r="J9" i="10" l="1"/>
  <c r="J7" i="10"/>
  <c r="J11" i="10"/>
  <c r="J14" i="10"/>
  <c r="I15" i="10"/>
  <c r="J15" i="10" s="1"/>
  <c r="I16" i="10"/>
  <c r="J16" i="10" s="1"/>
  <c r="I17" i="10"/>
  <c r="J17" i="10" s="1"/>
  <c r="I18" i="10"/>
  <c r="J18" i="10" s="1"/>
  <c r="I19" i="10"/>
  <c r="K16" i="1"/>
  <c r="K25" i="7"/>
  <c r="K18" i="8"/>
  <c r="K14" i="9"/>
  <c r="K16" i="9" s="1"/>
  <c r="K27" i="9" s="1"/>
  <c r="K28" i="9" s="1"/>
  <c r="K21" i="8"/>
  <c r="K23" i="8" s="1"/>
  <c r="K21" i="7"/>
  <c r="K12" i="6"/>
  <c r="K12" i="5"/>
  <c r="J16" i="1"/>
  <c r="J14" i="9"/>
  <c r="J16" i="9" s="1"/>
  <c r="J27" i="9" s="1"/>
  <c r="J28" i="9" s="1"/>
  <c r="J21" i="8"/>
  <c r="J23" i="8" s="1"/>
  <c r="J21" i="7"/>
  <c r="J25" i="7"/>
  <c r="J18" i="8"/>
  <c r="J12" i="6"/>
  <c r="J12" i="5"/>
  <c r="F16" i="1"/>
  <c r="F14" i="9"/>
  <c r="F16" i="9" s="1"/>
  <c r="F27" i="9" s="1"/>
  <c r="F28" i="9" s="1"/>
  <c r="F21" i="8"/>
  <c r="F23" i="8" s="1"/>
  <c r="F21" i="7"/>
  <c r="F18" i="8"/>
  <c r="F25" i="7"/>
  <c r="F12" i="6"/>
  <c r="F12" i="5"/>
  <c r="I16" i="1"/>
  <c r="I14" i="9"/>
  <c r="I16" i="9" s="1"/>
  <c r="I27" i="9" s="1"/>
  <c r="I28" i="9" s="1"/>
  <c r="I18" i="8"/>
  <c r="I25" i="7"/>
  <c r="I21" i="8"/>
  <c r="I23" i="8" s="1"/>
  <c r="I21" i="7"/>
  <c r="I12" i="6"/>
  <c r="I12" i="5"/>
  <c r="E16" i="1"/>
  <c r="E21" i="8"/>
  <c r="E23" i="8" s="1"/>
  <c r="E21" i="7"/>
  <c r="E18" i="8"/>
  <c r="E25" i="7"/>
  <c r="E14" i="9"/>
  <c r="E16" i="9" s="1"/>
  <c r="E27" i="9" s="1"/>
  <c r="E28" i="9" s="1"/>
  <c r="E12" i="6"/>
  <c r="E12" i="5"/>
  <c r="L16" i="1"/>
  <c r="L18" i="8"/>
  <c r="L25" i="7"/>
  <c r="L14" i="9"/>
  <c r="L16" i="9" s="1"/>
  <c r="L27" i="9" s="1"/>
  <c r="L28" i="9" s="1"/>
  <c r="L21" i="8"/>
  <c r="L23" i="8" s="1"/>
  <c r="L21" i="7"/>
  <c r="L12" i="6"/>
  <c r="L12" i="5"/>
  <c r="G16" i="1"/>
  <c r="G25" i="7"/>
  <c r="G21" i="7"/>
  <c r="G14" i="9"/>
  <c r="G16" i="9" s="1"/>
  <c r="G27" i="9" s="1"/>
  <c r="G28" i="9" s="1"/>
  <c r="G21" i="8"/>
  <c r="G23" i="8" s="1"/>
  <c r="G18" i="8"/>
  <c r="G12" i="6"/>
  <c r="G12" i="5"/>
  <c r="D16" i="1"/>
  <c r="D18" i="8"/>
  <c r="D25" i="7"/>
  <c r="D14" i="9"/>
  <c r="D16" i="9" s="1"/>
  <c r="D27" i="9" s="1"/>
  <c r="D28" i="9" s="1"/>
  <c r="D21" i="8"/>
  <c r="D23" i="8" s="1"/>
  <c r="D21" i="7"/>
  <c r="D12" i="6"/>
  <c r="H16" i="1"/>
  <c r="H18" i="8"/>
  <c r="H25" i="7"/>
  <c r="H14" i="9"/>
  <c r="H16" i="9" s="1"/>
  <c r="H27" i="9" s="1"/>
  <c r="H28" i="9" s="1"/>
  <c r="H21" i="8"/>
  <c r="H23" i="8" s="1"/>
  <c r="H21" i="7"/>
  <c r="H12" i="6"/>
  <c r="H12" i="5"/>
  <c r="N19" i="7"/>
  <c r="O19" i="7"/>
  <c r="C16" i="1"/>
  <c r="C14" i="9"/>
  <c r="C16" i="9" s="1"/>
  <c r="C27" i="9" s="1"/>
  <c r="C28" i="9" s="1"/>
  <c r="C21" i="8"/>
  <c r="C23" i="8" s="1"/>
  <c r="C18" i="8"/>
  <c r="C25" i="7"/>
  <c r="C21" i="7"/>
  <c r="C12" i="5"/>
  <c r="C7" i="7" s="1"/>
  <c r="C12" i="6"/>
  <c r="D12" i="5"/>
  <c r="O12" i="7"/>
  <c r="N12" i="7"/>
  <c r="N6" i="7"/>
  <c r="O6" i="7"/>
  <c r="J19" i="10" l="1"/>
  <c r="K13" i="7"/>
  <c r="L7" i="7"/>
  <c r="D13" i="7"/>
  <c r="E7" i="7"/>
  <c r="G13" i="7"/>
  <c r="H7" i="7"/>
  <c r="F13" i="7"/>
  <c r="G7" i="7"/>
  <c r="H27" i="7"/>
  <c r="H17" i="8"/>
  <c r="H19" i="8" s="1"/>
  <c r="H14" i="8"/>
  <c r="H18" i="1"/>
  <c r="H15" i="6"/>
  <c r="H15" i="5"/>
  <c r="G14" i="7" s="1"/>
  <c r="H13" i="7"/>
  <c r="I7" i="7"/>
  <c r="E13" i="7"/>
  <c r="F7" i="7"/>
  <c r="I13" i="7"/>
  <c r="J7" i="7"/>
  <c r="J13" i="7"/>
  <c r="K7" i="7"/>
  <c r="D27" i="7"/>
  <c r="D14" i="8"/>
  <c r="D17" i="8"/>
  <c r="D19" i="8" s="1"/>
  <c r="D15" i="6"/>
  <c r="D18" i="1"/>
  <c r="G17" i="8"/>
  <c r="G19" i="8" s="1"/>
  <c r="G14" i="8"/>
  <c r="G27" i="7"/>
  <c r="G18" i="1"/>
  <c r="G15" i="6"/>
  <c r="G15" i="5"/>
  <c r="F14" i="7" s="1"/>
  <c r="L27" i="7"/>
  <c r="L17" i="8"/>
  <c r="L19" i="8" s="1"/>
  <c r="L14" i="8"/>
  <c r="L18" i="1"/>
  <c r="L15" i="6"/>
  <c r="L15" i="5"/>
  <c r="K14" i="7" s="1"/>
  <c r="E14" i="8"/>
  <c r="E27" i="7"/>
  <c r="E17" i="8"/>
  <c r="E19" i="8" s="1"/>
  <c r="E15" i="5"/>
  <c r="D14" i="7" s="1"/>
  <c r="E15" i="6"/>
  <c r="E18" i="1"/>
  <c r="I14" i="8"/>
  <c r="I27" i="7"/>
  <c r="I17" i="8"/>
  <c r="I19" i="8" s="1"/>
  <c r="I15" i="5"/>
  <c r="H14" i="7" s="1"/>
  <c r="I15" i="6"/>
  <c r="I18" i="1"/>
  <c r="F14" i="8"/>
  <c r="F27" i="7"/>
  <c r="F17" i="8"/>
  <c r="F19" i="8" s="1"/>
  <c r="F15" i="6"/>
  <c r="F15" i="5"/>
  <c r="E14" i="7" s="1"/>
  <c r="F18" i="1"/>
  <c r="J17" i="8"/>
  <c r="J19" i="8" s="1"/>
  <c r="J14" i="8"/>
  <c r="J27" i="7"/>
  <c r="J15" i="6"/>
  <c r="J15" i="5"/>
  <c r="I14" i="7" s="1"/>
  <c r="J18" i="1"/>
  <c r="K17" i="8"/>
  <c r="K19" i="8" s="1"/>
  <c r="K27" i="7"/>
  <c r="K14" i="8"/>
  <c r="K18" i="1"/>
  <c r="K15" i="6"/>
  <c r="K15" i="5"/>
  <c r="J14" i="7" s="1"/>
  <c r="N21" i="7"/>
  <c r="O21" i="7"/>
  <c r="C13" i="7"/>
  <c r="D7" i="7"/>
  <c r="O25" i="7"/>
  <c r="N25" i="7"/>
  <c r="C27" i="7"/>
  <c r="C17" i="8"/>
  <c r="C19" i="8" s="1"/>
  <c r="C14" i="8"/>
  <c r="C15" i="5"/>
  <c r="C15" i="6"/>
  <c r="D15" i="5"/>
  <c r="C14" i="7" s="1"/>
  <c r="C18" i="1"/>
  <c r="O7" i="7" l="1"/>
  <c r="N7" i="7"/>
  <c r="D13" i="8"/>
  <c r="D15" i="8" s="1"/>
  <c r="D33" i="8" s="1"/>
  <c r="D7" i="8"/>
  <c r="D9" i="8" s="1"/>
  <c r="D23" i="7"/>
  <c r="D22" i="1"/>
  <c r="D25" i="1" s="1"/>
  <c r="D27" i="1" s="1"/>
  <c r="D22" i="7" s="1"/>
  <c r="D24" i="7" s="1"/>
  <c r="D17" i="6"/>
  <c r="J13" i="8"/>
  <c r="J15" i="8" s="1"/>
  <c r="J33" i="8" s="1"/>
  <c r="J7" i="8"/>
  <c r="J9" i="8" s="1"/>
  <c r="J23" i="7"/>
  <c r="J17" i="5"/>
  <c r="J22" i="1"/>
  <c r="J17" i="6"/>
  <c r="I13" i="8"/>
  <c r="I15" i="8" s="1"/>
  <c r="I33" i="8" s="1"/>
  <c r="I7" i="8"/>
  <c r="I9" i="8" s="1"/>
  <c r="I23" i="7"/>
  <c r="I22" i="1"/>
  <c r="I17" i="6"/>
  <c r="I17" i="5"/>
  <c r="G13" i="8"/>
  <c r="G15" i="8" s="1"/>
  <c r="G33" i="8" s="1"/>
  <c r="G7" i="8"/>
  <c r="G9" i="8" s="1"/>
  <c r="G23" i="7"/>
  <c r="G17" i="6"/>
  <c r="G17" i="5"/>
  <c r="G22" i="1"/>
  <c r="H13" i="8"/>
  <c r="H15" i="8" s="1"/>
  <c r="H33" i="8" s="1"/>
  <c r="H7" i="8"/>
  <c r="H9" i="8" s="1"/>
  <c r="H23" i="7"/>
  <c r="H22" i="1"/>
  <c r="H17" i="6"/>
  <c r="H17" i="5"/>
  <c r="K7" i="8"/>
  <c r="K9" i="8" s="1"/>
  <c r="K13" i="8"/>
  <c r="K15" i="8" s="1"/>
  <c r="K33" i="8" s="1"/>
  <c r="K23" i="7"/>
  <c r="K17" i="6"/>
  <c r="K17" i="5"/>
  <c r="K22" i="1"/>
  <c r="K25" i="1" s="1"/>
  <c r="K27" i="1" s="1"/>
  <c r="K22" i="7" s="1"/>
  <c r="K24" i="7" s="1"/>
  <c r="F13" i="8"/>
  <c r="F15" i="8" s="1"/>
  <c r="F33" i="8" s="1"/>
  <c r="F7" i="8"/>
  <c r="F9" i="8" s="1"/>
  <c r="F23" i="7"/>
  <c r="F22" i="1"/>
  <c r="F17" i="6"/>
  <c r="F17" i="5"/>
  <c r="E23" i="7"/>
  <c r="E13" i="8"/>
  <c r="E15" i="8" s="1"/>
  <c r="E33" i="8" s="1"/>
  <c r="E7" i="8"/>
  <c r="E9" i="8" s="1"/>
  <c r="E17" i="5"/>
  <c r="E17" i="6"/>
  <c r="E22" i="1"/>
  <c r="E25" i="1" s="1"/>
  <c r="E27" i="1" s="1"/>
  <c r="E22" i="7" s="1"/>
  <c r="E24" i="7" s="1"/>
  <c r="L13" i="8"/>
  <c r="L15" i="8" s="1"/>
  <c r="L33" i="8" s="1"/>
  <c r="L7" i="8"/>
  <c r="L9" i="8" s="1"/>
  <c r="L23" i="7"/>
  <c r="L17" i="5"/>
  <c r="L22" i="1"/>
  <c r="L17" i="6"/>
  <c r="O27" i="7"/>
  <c r="N27" i="7"/>
  <c r="O13" i="7"/>
  <c r="N13" i="7"/>
  <c r="C13" i="8"/>
  <c r="C15" i="8" s="1"/>
  <c r="C33" i="8" s="1"/>
  <c r="C7" i="8"/>
  <c r="C9" i="8" s="1"/>
  <c r="C23" i="7"/>
  <c r="C17" i="5"/>
  <c r="C8" i="7" s="1"/>
  <c r="C17" i="6"/>
  <c r="C22" i="1"/>
  <c r="D17" i="5"/>
  <c r="N14" i="7"/>
  <c r="O14" i="7"/>
  <c r="C25" i="1" l="1"/>
  <c r="C27" i="1" s="1"/>
  <c r="C22" i="7" s="1"/>
  <c r="N5" i="10" a="1"/>
  <c r="K15" i="7"/>
  <c r="L8" i="7"/>
  <c r="F27" i="1"/>
  <c r="F22" i="7" s="1"/>
  <c r="F24" i="7" s="1"/>
  <c r="F25" i="1"/>
  <c r="H25" i="1"/>
  <c r="H27" i="1"/>
  <c r="H22" i="7" s="1"/>
  <c r="H24" i="7" s="1"/>
  <c r="G25" i="1"/>
  <c r="G27" i="1"/>
  <c r="G22" i="7" s="1"/>
  <c r="G24" i="7" s="1"/>
  <c r="I25" i="1"/>
  <c r="I27" i="1" s="1"/>
  <c r="I22" i="7" s="1"/>
  <c r="I24" i="7" s="1"/>
  <c r="L27" i="1"/>
  <c r="L22" i="7" s="1"/>
  <c r="L24" i="7" s="1"/>
  <c r="L25" i="1"/>
  <c r="J15" i="7"/>
  <c r="K8" i="7"/>
  <c r="G8" i="7"/>
  <c r="F15" i="7"/>
  <c r="J25" i="1"/>
  <c r="J27" i="1" s="1"/>
  <c r="J22" i="7" s="1"/>
  <c r="J24" i="7" s="1"/>
  <c r="D15" i="7"/>
  <c r="E8" i="7"/>
  <c r="E15" i="7"/>
  <c r="F8" i="7"/>
  <c r="G15" i="7"/>
  <c r="H8" i="7"/>
  <c r="I8" i="7"/>
  <c r="H15" i="7"/>
  <c r="I15" i="7"/>
  <c r="J8" i="7"/>
  <c r="N23" i="7"/>
  <c r="O23" i="7"/>
  <c r="D8" i="7"/>
  <c r="C15" i="7"/>
  <c r="C24" i="7"/>
  <c r="N5" i="10" l="1"/>
  <c r="N10" i="10"/>
  <c r="N11" i="10"/>
  <c r="O11" i="10" s="1"/>
  <c r="N9" i="10"/>
  <c r="O9" i="10" s="1"/>
  <c r="N6" i="10"/>
  <c r="O6" i="10" s="1"/>
  <c r="N7" i="10"/>
  <c r="O7" i="10" s="1"/>
  <c r="N12" i="10"/>
  <c r="O12" i="10" s="1"/>
  <c r="N14" i="10"/>
  <c r="O14" i="10" s="1"/>
  <c r="N8" i="10"/>
  <c r="N13" i="10"/>
  <c r="O8" i="7"/>
  <c r="N22" i="7"/>
  <c r="N8" i="7"/>
  <c r="O22" i="7"/>
  <c r="O24" i="7"/>
  <c r="N24" i="7"/>
  <c r="O15" i="7"/>
  <c r="N15" i="7"/>
  <c r="O13" i="10" l="1"/>
  <c r="O10" i="10"/>
  <c r="O8" i="10"/>
  <c r="N15" i="10"/>
  <c r="O15" i="10" s="1"/>
  <c r="N16" i="10"/>
  <c r="O16" i="10" s="1"/>
  <c r="N17" i="10"/>
  <c r="O17" i="10" s="1"/>
  <c r="N18" i="10"/>
  <c r="O18" i="10" s="1"/>
  <c r="N19" i="10"/>
  <c r="O19" i="10" s="1"/>
</calcChain>
</file>

<file path=xl/sharedStrings.xml><?xml version="1.0" encoding="utf-8"?>
<sst xmlns="http://schemas.openxmlformats.org/spreadsheetml/2006/main" count="416" uniqueCount="204">
  <si>
    <t>(IN CRORES)</t>
  </si>
  <si>
    <t>Revenue</t>
  </si>
  <si>
    <t>COGS</t>
  </si>
  <si>
    <t>EBITDA</t>
  </si>
  <si>
    <t>Depreciation</t>
  </si>
  <si>
    <t>Interest</t>
  </si>
  <si>
    <t>Gross Profit</t>
  </si>
  <si>
    <t>Other Income</t>
  </si>
  <si>
    <t>EBT</t>
  </si>
  <si>
    <t xml:space="preserve">Tax </t>
  </si>
  <si>
    <t>Net Income</t>
  </si>
  <si>
    <t>Income Statement</t>
  </si>
  <si>
    <t>Selling &amp; General Expenses</t>
  </si>
  <si>
    <t>Total Expenses</t>
  </si>
  <si>
    <t>Operating Profit</t>
  </si>
  <si>
    <t>S&amp;G Expenses</t>
  </si>
  <si>
    <t>EBIT</t>
  </si>
  <si>
    <t>COMPANY NAME</t>
  </si>
  <si>
    <t>MARUTI SUZUKI INDIA LTD</t>
  </si>
  <si>
    <t/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</si>
  <si>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</si>
  <si>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</si>
  <si>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</si>
  <si>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</si>
  <si>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</si>
  <si>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</si>
  <si>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</si>
  <si>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</si>
  <si>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</si>
  <si>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</si>
  <si>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</si>
  <si>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</si>
  <si>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</si>
  <si>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</si>
  <si>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</si>
  <si>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</si>
  <si>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</si>
  <si>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</si>
  <si>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Profit before tax</t>
  </si>
  <si>
    <t>Tax</t>
  </si>
  <si>
    <t>Net profit</t>
  </si>
  <si>
    <t>Dividend Amount</t>
  </si>
  <si>
    <t>Quarters</t>
  </si>
  <si>
    <t>Expenses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</si>
  <si>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</si>
  <si>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</si>
  <si>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</si>
  <si>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</si>
  <si>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</si>
  <si>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</si>
  <si>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</si>
  <si>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</si>
  <si>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</si>
  <si>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</si>
  <si>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</si>
  <si>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</si>
  <si>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</si>
  <si>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</si>
  <si>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</si>
  <si>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</si>
  <si>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</si>
  <si>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</si>
  <si>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</si>
  <si>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</si>
  <si>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</si>
  <si>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</si>
  <si>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</si>
  <si>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</si>
  <si>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EPS</t>
  </si>
  <si>
    <t>DPS</t>
  </si>
  <si>
    <t>Dividend Payout Ratio %</t>
  </si>
  <si>
    <t>Retained Earnings %</t>
  </si>
  <si>
    <t>Balance Sheet</t>
  </si>
  <si>
    <t xml:space="preserve">Reserves </t>
  </si>
  <si>
    <t>Total Liabilities</t>
  </si>
  <si>
    <t>Fixed Assets Net Block</t>
  </si>
  <si>
    <t>Total Assets</t>
  </si>
  <si>
    <t xml:space="preserve">Total Current Assets </t>
  </si>
  <si>
    <t>Total Non-current Assets</t>
  </si>
  <si>
    <t>Cash Flow Statement</t>
  </si>
  <si>
    <t>Operating Activities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</si>
  <si>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</si>
  <si>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</si>
  <si>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</si>
  <si>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</si>
  <si>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Operating investments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</si>
  <si>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</si>
  <si>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</si>
  <si>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</si>
  <si>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</si>
  <si>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</si>
  <si>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</si>
  <si>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</si>
  <si>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</si>
  <si>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</si>
  <si>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</si>
  <si>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</si>
  <si>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</si>
  <si>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</si>
  <si>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</si>
  <si>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</si>
  <si>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</si>
  <si>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</si>
  <si>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</si>
  <si>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</si>
  <si>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</si>
  <si>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Receivables </t>
  </si>
  <si>
    <t xml:space="preserve">Payables </t>
  </si>
  <si>
    <t>Loan Advances</t>
  </si>
  <si>
    <t>Operating Investments</t>
  </si>
  <si>
    <t>Other WC Items</t>
  </si>
  <si>
    <t xml:space="preserve">Working Capital Changes </t>
  </si>
  <si>
    <t>Direct Taxes</t>
  </si>
  <si>
    <t>Cash From Operating Activities</t>
  </si>
  <si>
    <t>Profit From Operations</t>
  </si>
  <si>
    <t xml:space="preserve">Investing Activities </t>
  </si>
  <si>
    <t>Cash From Investing Activities</t>
  </si>
  <si>
    <t>Financing Activities</t>
  </si>
  <si>
    <t>Cash From Financing Activities</t>
  </si>
  <si>
    <t xml:space="preserve">Net Income </t>
  </si>
  <si>
    <t>Year</t>
  </si>
  <si>
    <t xml:space="preserve">Income Statement </t>
  </si>
  <si>
    <t xml:space="preserve">Selling &amp; General Expenses </t>
  </si>
  <si>
    <t xml:space="preserve">EBIT </t>
  </si>
  <si>
    <t xml:space="preserve">EBT </t>
  </si>
  <si>
    <t>Net Profit</t>
  </si>
  <si>
    <t>Trend</t>
  </si>
  <si>
    <t>Mean</t>
  </si>
  <si>
    <t>Median</t>
  </si>
  <si>
    <t xml:space="preserve">Sales Growth </t>
  </si>
  <si>
    <t>EBITDA Growth</t>
  </si>
  <si>
    <t>EBIT Growth</t>
  </si>
  <si>
    <t>Net Profit Growth</t>
  </si>
  <si>
    <t>Dividend Growth</t>
  </si>
  <si>
    <t xml:space="preserve">Gross Margin 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</si>
  <si>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</si>
  <si>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</si>
  <si>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</si>
  <si>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</si>
  <si>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</si>
  <si>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</si>
  <si>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</si>
  <si>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</si>
  <si>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</si>
  <si>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</si>
  <si>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</si>
  <si>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</si>
  <si>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</si>
  <si>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</si>
  <si>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</si>
  <si>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</si>
  <si>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</si>
  <si>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</si>
  <si>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</si>
  <si>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</si>
  <si>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</si>
  <si>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</si>
  <si>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</si>
  <si>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</si>
  <si>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Return On Equity</t>
  </si>
  <si>
    <t>Equity</t>
  </si>
  <si>
    <t>ROE</t>
  </si>
  <si>
    <t>Return on Equity - Du Pont Equation</t>
  </si>
  <si>
    <t>Tax Burden</t>
  </si>
  <si>
    <t>Interest Burden</t>
  </si>
  <si>
    <t>Operating Profit Margin</t>
  </si>
  <si>
    <t>Total Asset</t>
  </si>
  <si>
    <t>Asset Turnover</t>
  </si>
  <si>
    <t>Equity Multiplier</t>
  </si>
  <si>
    <t>Working Capital</t>
  </si>
  <si>
    <t>X1: Working Capital/Total Assets</t>
  </si>
  <si>
    <t>Retained Earnings</t>
  </si>
  <si>
    <t>X2: Retained Earnings / Total Assets</t>
  </si>
  <si>
    <t>X3: EBIT / Total Assets</t>
  </si>
  <si>
    <t>Market Value of Equity</t>
  </si>
  <si>
    <t>X4: Market Capitalization / Total Liabilities</t>
  </si>
  <si>
    <t>X5: Sales / Total Assets</t>
  </si>
  <si>
    <t>Altman's Z-Score: Z=1.2X1 +1.4X2 +3.3X3 +0.6X4 +1.0X5</t>
  </si>
  <si>
    <t>Z Score</t>
  </si>
  <si>
    <t>Financial Stability</t>
  </si>
  <si>
    <t>In Crores</t>
  </si>
  <si>
    <t>Year Weight</t>
  </si>
  <si>
    <t>Sales Growth</t>
  </si>
  <si>
    <t>MARUTI SUZUKI LTD</t>
  </si>
  <si>
    <t>EPS Growth</t>
  </si>
  <si>
    <t>Actual</t>
  </si>
  <si>
    <t>Forecasting</t>
  </si>
  <si>
    <t>Scenarios:</t>
  </si>
  <si>
    <t>Case:1</t>
  </si>
  <si>
    <t>Case:2</t>
  </si>
  <si>
    <t>Case:3</t>
  </si>
  <si>
    <t>Upside Case</t>
  </si>
  <si>
    <t>Base Case</t>
  </si>
  <si>
    <t>Downside Case</t>
  </si>
  <si>
    <t>Rates</t>
  </si>
  <si>
    <t>Selected Case 2</t>
  </si>
  <si>
    <t>Years</t>
  </si>
  <si>
    <t>y-o-y growth rate %</t>
  </si>
  <si>
    <t>Case 1:</t>
  </si>
  <si>
    <t>Case 2:</t>
  </si>
  <si>
    <t>Case 3:</t>
  </si>
  <si>
    <t>Gross Profits</t>
  </si>
  <si>
    <t>Tax % of EBT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</si>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</sst>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 * #,##0.00_ ;_ * \-#,##0.00_ ;_ * &quot;-&quot;??_ ;_ @_ "/>
    <numFmt numFmtId="164" formatCode="[$-409]mmm\-yy;@"/>
    <numFmt numFmtId="165" formatCode="#,##0.0;\(#,##0.0\)"/>
    <numFmt numFmtId="166" formatCode="0.0%"/>
    <numFmt numFmtId="167" formatCode="_ * #,##0.0_ ;_ * \-#,##0.0_ ;_ * &quot;-&quot;??_ ;_ @_ "/>
    <numFmt numFmtId="168" formatCode="0.0"/>
    <numFmt numFmtId="169" formatCode="0.0\x"/>
    <numFmt numFmtId="170" formatCode="0.0%;\(0.0%\);&quot;-&quot;"/>
    <numFmt numFmtId="171" formatCode="&quot;₹&quot;\ #,##0.0;\(&quot;₹&quot;\ #,##0.0\);\-"/>
    <numFmt numFmtId="172" formatCode="0\A"/>
    <numFmt numFmtId="173" formatCode="0\E"/>
    <numFmt numFmtId="174" formatCode="&quot;₹&quot;\ #,##0.00"/>
    <numFmt numFmtId="175" formatCode="&quot;₹&quot;\ #,##0.0"/>
  </numFmts>
  <fonts count="20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i/>
      <sz val="11"/>
      <color theme="0" tint="-0.34998626667073579"/>
      <name val="Calibri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i/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/>
    <xf numFmtId="9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/>
    <xf numFmtId="0" fontId="1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4" fillId="3" borderId="0" xfId="0" applyFont="1" applyFill="1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0" fontId="0" fillId="3" borderId="0" xfId="0" applyFill="1"/>
    <xf numFmtId="3" fontId="0" fillId="3" borderId="0" xfId="0" applyNumberFormat="1" applyFill="1"/>
    <xf numFmtId="9" fontId="0" fillId="0" borderId="0" xfId="0" applyNumberFormat="1"/>
    <xf numFmtId="10" fontId="0" fillId="0" borderId="0" xfId="0" applyNumberFormat="1"/>
    <xf numFmtId="0" fontId="7" fillId="0" borderId="0" xfId="2"/>
    <xf numFmtId="43" fontId="8" fillId="0" borderId="0" xfId="3" applyFont="1" applyBorder="1"/>
    <xf numFmtId="43" fontId="7" fillId="0" borderId="0" xfId="3" applyFont="1" applyBorder="1"/>
    <xf numFmtId="164" fontId="9" fillId="7" borderId="0" xfId="2" applyNumberFormat="1" applyFont="1" applyFill="1" applyBorder="1" applyAlignment="1">
      <alignment horizontal="center"/>
    </xf>
    <xf numFmtId="164" fontId="9" fillId="7" borderId="0" xfId="3" applyNumberFormat="1" applyFont="1" applyFill="1" applyBorder="1"/>
    <xf numFmtId="43" fontId="7" fillId="0" borderId="0" xfId="3" applyNumberFormat="1" applyFont="1" applyBorder="1"/>
    <xf numFmtId="165" fontId="5" fillId="0" borderId="0" xfId="0" applyNumberFormat="1" applyFont="1" applyBorder="1"/>
    <xf numFmtId="165" fontId="2" fillId="0" borderId="0" xfId="0" applyNumberFormat="1" applyFont="1" applyBorder="1"/>
    <xf numFmtId="165" fontId="5" fillId="0" borderId="0" xfId="0" applyNumberFormat="1" applyFont="1"/>
    <xf numFmtId="165" fontId="2" fillId="0" borderId="0" xfId="0" applyNumberFormat="1" applyFont="1"/>
    <xf numFmtId="165" fontId="2" fillId="0" borderId="1" xfId="0" applyNumberFormat="1" applyFont="1" applyBorder="1"/>
    <xf numFmtId="0" fontId="0" fillId="0" borderId="0" xfId="0" applyFont="1"/>
    <xf numFmtId="165" fontId="0" fillId="0" borderId="0" xfId="0" applyNumberFormat="1" applyFont="1" applyBorder="1"/>
    <xf numFmtId="0" fontId="12" fillId="0" borderId="0" xfId="0" applyFont="1"/>
    <xf numFmtId="166" fontId="12" fillId="0" borderId="0" xfId="1" applyNumberFormat="1" applyFont="1"/>
    <xf numFmtId="10" fontId="0" fillId="0" borderId="0" xfId="1" applyNumberFormat="1" applyFont="1"/>
    <xf numFmtId="167" fontId="7" fillId="0" borderId="0" xfId="9" applyNumberFormat="1" applyFont="1"/>
    <xf numFmtId="0" fontId="2" fillId="0" borderId="2" xfId="0" applyFont="1" applyBorder="1"/>
    <xf numFmtId="167" fontId="2" fillId="0" borderId="2" xfId="9" applyNumberFormat="1" applyFont="1" applyBorder="1"/>
    <xf numFmtId="0" fontId="2" fillId="0" borderId="3" xfId="0" applyFont="1" applyBorder="1"/>
    <xf numFmtId="167" fontId="2" fillId="0" borderId="3" xfId="9" applyNumberFormat="1" applyFont="1" applyBorder="1"/>
    <xf numFmtId="167" fontId="0" fillId="0" borderId="0" xfId="0" applyNumberFormat="1"/>
    <xf numFmtId="167" fontId="2" fillId="0" borderId="2" xfId="0" applyNumberFormat="1" applyFont="1" applyBorder="1"/>
    <xf numFmtId="17" fontId="13" fillId="8" borderId="4" xfId="0" applyNumberFormat="1" applyFont="1" applyFill="1" applyBorder="1" applyAlignment="1">
      <alignment horizontal="right" vertical="center" wrapText="1" indent="1"/>
    </xf>
    <xf numFmtId="0" fontId="14" fillId="9" borderId="5" xfId="0" applyFont="1" applyFill="1" applyBorder="1" applyAlignment="1">
      <alignment horizontal="left" vertical="center" indent="2"/>
    </xf>
    <xf numFmtId="3" fontId="14" fillId="9" borderId="5" xfId="0" applyNumberFormat="1" applyFont="1" applyFill="1" applyBorder="1" applyAlignment="1">
      <alignment horizontal="right" vertical="center" wrapText="1" indent="1"/>
    </xf>
    <xf numFmtId="0" fontId="14" fillId="9" borderId="5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right" vertical="center" wrapText="1" indent="1"/>
    </xf>
    <xf numFmtId="3" fontId="16" fillId="9" borderId="0" xfId="0" applyNumberFormat="1" applyFont="1" applyFill="1" applyAlignment="1">
      <alignment horizontal="right" vertical="center" wrapText="1" indent="1"/>
    </xf>
    <xf numFmtId="0" fontId="14" fillId="9" borderId="5" xfId="0" applyFont="1" applyFill="1" applyBorder="1" applyAlignment="1">
      <alignment horizontal="right" vertical="center" wrapText="1" indent="1"/>
    </xf>
    <xf numFmtId="0" fontId="14" fillId="8" borderId="5" xfId="0" applyFont="1" applyFill="1" applyBorder="1" applyAlignment="1">
      <alignment horizontal="left" vertical="center" indent="2"/>
    </xf>
    <xf numFmtId="3" fontId="14" fillId="8" borderId="5" xfId="0" applyNumberFormat="1" applyFont="1" applyFill="1" applyBorder="1" applyAlignment="1">
      <alignment horizontal="right" vertical="center" wrapText="1" indent="1"/>
    </xf>
    <xf numFmtId="0" fontId="14" fillId="8" borderId="5" xfId="0" applyFont="1" applyFill="1" applyBorder="1" applyAlignment="1">
      <alignment horizontal="right" vertical="center" wrapText="1" indent="1"/>
    </xf>
    <xf numFmtId="0" fontId="16" fillId="8" borderId="0" xfId="0" applyFont="1" applyFill="1" applyAlignment="1">
      <alignment horizontal="left" vertical="center"/>
    </xf>
    <xf numFmtId="3" fontId="16" fillId="8" borderId="0" xfId="0" applyNumberFormat="1" applyFont="1" applyFill="1" applyAlignment="1">
      <alignment horizontal="right" vertical="center" wrapText="1" indent="1"/>
    </xf>
    <xf numFmtId="0" fontId="16" fillId="8" borderId="0" xfId="0" applyFont="1" applyFill="1" applyAlignment="1">
      <alignment horizontal="right" vertical="center" wrapText="1" indent="1"/>
    </xf>
    <xf numFmtId="0" fontId="2" fillId="3" borderId="0" xfId="0" applyFont="1" applyFill="1" applyBorder="1"/>
    <xf numFmtId="0" fontId="2" fillId="3" borderId="0" xfId="0" applyFont="1" applyFill="1"/>
    <xf numFmtId="0" fontId="2" fillId="0" borderId="1" xfId="0" applyFont="1" applyBorder="1"/>
    <xf numFmtId="165" fontId="2" fillId="0" borderId="3" xfId="0" applyNumberFormat="1" applyFont="1" applyBorder="1"/>
    <xf numFmtId="0" fontId="2" fillId="0" borderId="0" xfId="0" applyFont="1" applyBorder="1"/>
    <xf numFmtId="165" fontId="2" fillId="0" borderId="2" xfId="0" applyNumberFormat="1" applyFont="1" applyBorder="1"/>
    <xf numFmtId="0" fontId="0" fillId="0" borderId="0" xfId="0" applyFont="1" applyFill="1" applyBorder="1"/>
    <xf numFmtId="166" fontId="0" fillId="0" borderId="0" xfId="1" applyNumberFormat="1" applyFont="1"/>
    <xf numFmtId="0" fontId="0" fillId="0" borderId="3" xfId="0" applyBorder="1"/>
    <xf numFmtId="166" fontId="2" fillId="0" borderId="3" xfId="1" applyNumberFormat="1" applyFont="1" applyBorder="1"/>
    <xf numFmtId="0" fontId="0" fillId="0" borderId="2" xfId="0" applyBorder="1"/>
    <xf numFmtId="166" fontId="2" fillId="0" borderId="2" xfId="1" applyNumberFormat="1" applyFont="1" applyBorder="1"/>
    <xf numFmtId="166" fontId="0" fillId="0" borderId="0" xfId="1" applyNumberFormat="1" applyFont="1" applyAlignment="1">
      <alignment horizontal="right"/>
    </xf>
    <xf numFmtId="0" fontId="0" fillId="0" borderId="0" xfId="0" applyAlignment="1"/>
    <xf numFmtId="166" fontId="2" fillId="0" borderId="0" xfId="1" applyNumberFormat="1" applyFont="1"/>
    <xf numFmtId="0" fontId="0" fillId="0" borderId="0" xfId="0" applyFont="1" applyBorder="1"/>
    <xf numFmtId="0" fontId="0" fillId="0" borderId="0" xfId="0" applyBorder="1"/>
    <xf numFmtId="0" fontId="1" fillId="2" borderId="0" xfId="0" applyFont="1" applyFill="1" applyBorder="1"/>
    <xf numFmtId="0" fontId="0" fillId="0" borderId="6" xfId="0" applyBorder="1"/>
    <xf numFmtId="0" fontId="0" fillId="0" borderId="0" xfId="0" applyFill="1" applyBorder="1"/>
    <xf numFmtId="0" fontId="0" fillId="0" borderId="6" xfId="0" applyFill="1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166" fontId="0" fillId="0" borderId="6" xfId="1" applyNumberFormat="1" applyFont="1" applyBorder="1" applyAlignment="1">
      <alignment horizontal="right"/>
    </xf>
    <xf numFmtId="0" fontId="0" fillId="0" borderId="1" xfId="0" applyBorder="1"/>
    <xf numFmtId="166" fontId="0" fillId="0" borderId="6" xfId="0" applyNumberFormat="1" applyBorder="1"/>
    <xf numFmtId="169" fontId="0" fillId="0" borderId="6" xfId="9" applyNumberFormat="1" applyFont="1" applyBorder="1"/>
    <xf numFmtId="169" fontId="0" fillId="0" borderId="1" xfId="9" applyNumberFormat="1" applyFont="1" applyBorder="1"/>
    <xf numFmtId="169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6" xfId="0" applyNumberFormat="1" applyBorder="1"/>
    <xf numFmtId="169" fontId="0" fillId="0" borderId="0" xfId="0" applyNumberFormat="1" applyBorder="1"/>
    <xf numFmtId="1" fontId="0" fillId="0" borderId="0" xfId="1" applyNumberFormat="1" applyFont="1" applyBorder="1"/>
    <xf numFmtId="1" fontId="0" fillId="0" borderId="6" xfId="1" applyNumberFormat="1" applyFont="1" applyBorder="1"/>
    <xf numFmtId="170" fontId="0" fillId="0" borderId="0" xfId="1" applyNumberFormat="1" applyFont="1" applyAlignment="1">
      <alignment horizontal="right"/>
    </xf>
    <xf numFmtId="170" fontId="0" fillId="0" borderId="6" xfId="1" applyNumberFormat="1" applyFont="1" applyBorder="1" applyAlignment="1">
      <alignment horizontal="right"/>
    </xf>
    <xf numFmtId="170" fontId="0" fillId="0" borderId="0" xfId="1" applyNumberFormat="1" applyFont="1"/>
    <xf numFmtId="170" fontId="0" fillId="0" borderId="6" xfId="1" applyNumberFormat="1" applyFont="1" applyBorder="1"/>
    <xf numFmtId="170" fontId="0" fillId="0" borderId="0" xfId="0" applyNumberFormat="1"/>
    <xf numFmtId="170" fontId="0" fillId="0" borderId="0" xfId="0" applyNumberFormat="1" applyBorder="1"/>
    <xf numFmtId="170" fontId="0" fillId="0" borderId="6" xfId="0" applyNumberFormat="1" applyBorder="1"/>
    <xf numFmtId="170" fontId="1" fillId="2" borderId="0" xfId="0" applyNumberFormat="1" applyFont="1" applyFill="1"/>
    <xf numFmtId="170" fontId="0" fillId="0" borderId="0" xfId="0" applyNumberFormat="1" applyAlignment="1"/>
    <xf numFmtId="170" fontId="0" fillId="3" borderId="0" xfId="0" applyNumberFormat="1" applyFill="1"/>
    <xf numFmtId="170" fontId="2" fillId="0" borderId="0" xfId="1" applyNumberFormat="1" applyFont="1"/>
    <xf numFmtId="170" fontId="2" fillId="0" borderId="3" xfId="1" applyNumberFormat="1" applyFont="1" applyBorder="1"/>
    <xf numFmtId="170" fontId="2" fillId="0" borderId="1" xfId="1" applyNumberFormat="1" applyFont="1" applyBorder="1"/>
    <xf numFmtId="170" fontId="2" fillId="0" borderId="2" xfId="1" applyNumberFormat="1" applyFont="1" applyBorder="1"/>
    <xf numFmtId="170" fontId="0" fillId="0" borderId="2" xfId="1" applyNumberFormat="1" applyFont="1" applyBorder="1"/>
    <xf numFmtId="170" fontId="2" fillId="0" borderId="3" xfId="0" applyNumberFormat="1" applyFont="1" applyBorder="1"/>
    <xf numFmtId="170" fontId="2" fillId="0" borderId="2" xfId="0" applyNumberFormat="1" applyFont="1" applyBorder="1"/>
    <xf numFmtId="0" fontId="8" fillId="0" borderId="6" xfId="0" applyFont="1" applyBorder="1"/>
    <xf numFmtId="0" fontId="8" fillId="11" borderId="0" xfId="0" applyFont="1" applyFill="1"/>
    <xf numFmtId="0" fontId="8" fillId="0" borderId="2" xfId="0" applyFont="1" applyBorder="1"/>
    <xf numFmtId="0" fontId="8" fillId="3" borderId="0" xfId="0" applyFont="1" applyFill="1"/>
    <xf numFmtId="166" fontId="2" fillId="0" borderId="6" xfId="1" applyNumberFormat="1" applyFont="1" applyBorder="1"/>
    <xf numFmtId="169" fontId="2" fillId="0" borderId="0" xfId="1" applyNumberFormat="1" applyFont="1"/>
    <xf numFmtId="165" fontId="0" fillId="0" borderId="1" xfId="0" applyNumberFormat="1" applyBorder="1"/>
    <xf numFmtId="165" fontId="0" fillId="0" borderId="0" xfId="0" applyNumberFormat="1"/>
    <xf numFmtId="165" fontId="0" fillId="0" borderId="3" xfId="0" applyNumberFormat="1" applyBorder="1"/>
    <xf numFmtId="0" fontId="8" fillId="0" borderId="0" xfId="0" applyFont="1"/>
    <xf numFmtId="0" fontId="8" fillId="0" borderId="7" xfId="0" applyFont="1" applyBorder="1"/>
    <xf numFmtId="0" fontId="8" fillId="0" borderId="0" xfId="0" applyFont="1" applyBorder="1"/>
    <xf numFmtId="0" fontId="1" fillId="0" borderId="0" xfId="0" applyFont="1" applyFill="1"/>
    <xf numFmtId="0" fontId="0" fillId="0" borderId="0" xfId="0" applyFill="1"/>
    <xf numFmtId="171" fontId="0" fillId="0" borderId="1" xfId="0" applyNumberFormat="1" applyBorder="1"/>
    <xf numFmtId="0" fontId="0" fillId="10" borderId="7" xfId="0" applyFill="1" applyBorder="1"/>
    <xf numFmtId="0" fontId="0" fillId="12" borderId="7" xfId="0" applyFill="1" applyBorder="1"/>
    <xf numFmtId="2" fontId="2" fillId="0" borderId="0" xfId="1" applyNumberFormat="1" applyFont="1"/>
    <xf numFmtId="1" fontId="1" fillId="2" borderId="0" xfId="0" applyNumberFormat="1" applyFont="1" applyFill="1"/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174" fontId="2" fillId="0" borderId="0" xfId="0" applyNumberFormat="1" applyFont="1" applyBorder="1"/>
    <xf numFmtId="9" fontId="0" fillId="0" borderId="0" xfId="1" applyFont="1"/>
    <xf numFmtId="0" fontId="0" fillId="14" borderId="0" xfId="0" applyFill="1" applyAlignment="1">
      <alignment horizontal="left"/>
    </xf>
    <xf numFmtId="173" fontId="0" fillId="14" borderId="0" xfId="0" applyNumberFormat="1" applyFill="1" applyAlignment="1">
      <alignment horizontal="left"/>
    </xf>
    <xf numFmtId="174" fontId="2" fillId="14" borderId="0" xfId="0" applyNumberFormat="1" applyFont="1" applyFill="1" applyBorder="1"/>
    <xf numFmtId="166" fontId="0" fillId="14" borderId="0" xfId="1" applyNumberFormat="1" applyFont="1" applyFill="1"/>
    <xf numFmtId="166" fontId="0" fillId="0" borderId="0" xfId="0" applyNumberFormat="1"/>
    <xf numFmtId="166" fontId="0" fillId="14" borderId="0" xfId="0" applyNumberFormat="1" applyFill="1"/>
    <xf numFmtId="174" fontId="0" fillId="0" borderId="0" xfId="9" applyNumberFormat="1" applyFont="1"/>
    <xf numFmtId="172" fontId="0" fillId="0" borderId="0" xfId="0" applyNumberFormat="1"/>
    <xf numFmtId="174" fontId="0" fillId="0" borderId="0" xfId="1" applyNumberFormat="1" applyFont="1"/>
    <xf numFmtId="0" fontId="0" fillId="15" borderId="0" xfId="0" applyFill="1"/>
    <xf numFmtId="0" fontId="0" fillId="14" borderId="0" xfId="0" applyFill="1"/>
    <xf numFmtId="172" fontId="0" fillId="14" borderId="0" xfId="0" applyNumberFormat="1" applyFill="1"/>
    <xf numFmtId="174" fontId="0" fillId="14" borderId="0" xfId="9" applyNumberFormat="1" applyFont="1" applyFill="1"/>
    <xf numFmtId="173" fontId="0" fillId="14" borderId="0" xfId="0" applyNumberFormat="1" applyFill="1"/>
    <xf numFmtId="174" fontId="0" fillId="14" borderId="0" xfId="1" applyNumberFormat="1" applyFont="1" applyFill="1"/>
    <xf numFmtId="0" fontId="0" fillId="15" borderId="0" xfId="0" applyFont="1" applyFill="1"/>
    <xf numFmtId="9" fontId="0" fillId="15" borderId="0" xfId="0" applyNumberFormat="1" applyFill="1"/>
    <xf numFmtId="0" fontId="17" fillId="0" borderId="0" xfId="0" applyFont="1"/>
    <xf numFmtId="0" fontId="8" fillId="0" borderId="1" xfId="0" applyFont="1" applyBorder="1"/>
    <xf numFmtId="0" fontId="0" fillId="16" borderId="0" xfId="0" applyFill="1"/>
    <xf numFmtId="0" fontId="0" fillId="17" borderId="0" xfId="0" applyFill="1"/>
    <xf numFmtId="0" fontId="2" fillId="16" borderId="0" xfId="0" applyFont="1" applyFill="1"/>
    <xf numFmtId="0" fontId="4" fillId="16" borderId="0" xfId="0" applyFont="1" applyFill="1"/>
    <xf numFmtId="166" fontId="0" fillId="16" borderId="0" xfId="1" applyNumberFormat="1" applyFont="1" applyFill="1"/>
    <xf numFmtId="166" fontId="0" fillId="16" borderId="0" xfId="0" applyNumberFormat="1" applyFill="1"/>
    <xf numFmtId="166" fontId="18" fillId="0" borderId="0" xfId="1" applyNumberFormat="1" applyFont="1" applyFill="1"/>
    <xf numFmtId="166" fontId="18" fillId="0" borderId="0" xfId="1" applyNumberFormat="1" applyFont="1"/>
    <xf numFmtId="175" fontId="0" fillId="0" borderId="0" xfId="0" applyNumberFormat="1"/>
    <xf numFmtId="175" fontId="0" fillId="16" borderId="0" xfId="0" applyNumberFormat="1" applyFill="1"/>
    <xf numFmtId="0" fontId="19" fillId="17" borderId="0" xfId="0" applyFont="1" applyFill="1"/>
    <xf numFmtId="174" fontId="0" fillId="0" borderId="0" xfId="0" applyNumberFormat="1"/>
    <xf numFmtId="174" fontId="8" fillId="0" borderId="1" xfId="0" applyNumberFormat="1" applyFont="1" applyBorder="1"/>
    <xf numFmtId="174" fontId="0" fillId="16" borderId="0" xfId="0" applyNumberFormat="1" applyFill="1"/>
    <xf numFmtId="175" fontId="0" fillId="16" borderId="1" xfId="0" applyNumberFormat="1" applyFill="1" applyBorder="1"/>
    <xf numFmtId="166" fontId="17" fillId="0" borderId="0" xfId="1" applyNumberFormat="1" applyFont="1"/>
    <xf numFmtId="174" fontId="8" fillId="0" borderId="2" xfId="0" applyNumberFormat="1" applyFont="1" applyBorder="1"/>
    <xf numFmtId="174" fontId="2" fillId="16" borderId="0" xfId="0" applyNumberFormat="1" applyFont="1" applyFill="1"/>
    <xf numFmtId="174" fontId="0" fillId="16" borderId="0" xfId="0" applyNumberFormat="1" applyFont="1" applyFill="1"/>
    <xf numFmtId="175" fontId="2" fillId="16" borderId="1" xfId="0" applyNumberFormat="1" applyFont="1" applyFill="1" applyBorder="1"/>
    <xf numFmtId="174" fontId="2" fillId="16" borderId="1" xfId="0" applyNumberFormat="1" applyFont="1" applyFill="1" applyBorder="1"/>
    <xf numFmtId="174" fontId="2" fillId="16" borderId="2" xfId="0" applyNumberFormat="1" applyFont="1" applyFill="1" applyBorder="1"/>
    <xf numFmtId="0" fontId="1" fillId="2" borderId="0" xfId="0" applyFont="1" applyFill="1" applyAlignment="1">
      <alignment horizontal="center"/>
    </xf>
    <xf numFmtId="43" fontId="10" fillId="0" borderId="0" xfId="4" applyNumberFormat="1" applyBorder="1" applyAlignment="1" applyProtection="1">
      <alignment horizontal="center"/>
    </xf>
    <xf numFmtId="43" fontId="9" fillId="6" borderId="0" xfId="7" applyNumberFormat="1" applyFont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</cellXfs>
  <cellStyles count="10">
    <cellStyle name="60% - Accent1 2" xfId="5"/>
    <cellStyle name="60% - Accent3 2" xfId="6"/>
    <cellStyle name="Accent6 2" xfId="7"/>
    <cellStyle name="Comma" xfId="9" builtinId="3"/>
    <cellStyle name="Comma 2" xfId="3"/>
    <cellStyle name="Hyperlink" xfId="4" builtinId="8"/>
    <cellStyle name="Normal" xfId="0" builtinId="0"/>
    <cellStyle name="Normal 2" xfId="2"/>
    <cellStyle name="Percent" xfId="1" builtinId="5"/>
    <cellStyle name="Percent 2" xf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FORECASTING</a:t>
            </a:r>
            <a:endParaRPr lang="en-IN"/>
          </a:p>
        </c:rich>
      </c:tx>
      <c:layout>
        <c:manualLayout>
          <c:xMode val="edge"/>
          <c:yMode val="edge"/>
          <c:x val="0.21324629533614048"/>
          <c:y val="4.332129963898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5068919414829"/>
          <c:y val="0.27925296341567407"/>
          <c:w val="0.73617721013813531"/>
          <c:h val="0.54976738016051241"/>
        </c:manualLayout>
      </c:layout>
      <c:lineChart>
        <c:grouping val="standard"/>
        <c:varyColors val="0"/>
        <c:ser>
          <c:idx val="1"/>
          <c:order val="0"/>
          <c:tx>
            <c:strRef>
              <c:f>'Linear Forecasting'!$D$39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'Linear Forecasting'!$C$40:$C$54</c:f>
              <c:numCache>
                <c:formatCode>0\A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\E">
                  <c:v>2026</c:v>
                </c:pt>
                <c:pt idx="11" formatCode="0\E">
                  <c:v>2027</c:v>
                </c:pt>
                <c:pt idx="12" formatCode="0\E">
                  <c:v>2028</c:v>
                </c:pt>
                <c:pt idx="13" formatCode="0\E">
                  <c:v>2029</c:v>
                </c:pt>
                <c:pt idx="14" formatCode="0\E">
                  <c:v>2030</c:v>
                </c:pt>
              </c:numCache>
            </c:numRef>
          </c:cat>
          <c:val>
            <c:numRef>
              <c:f>'Linear Forecasting'!$D$40:$D$54</c:f>
              <c:numCache>
                <c:formatCode>"₹"\ #,##0.00</c:formatCode>
                <c:ptCount val="15"/>
                <c:pt idx="0">
                  <c:v>57589</c:v>
                </c:pt>
                <c:pt idx="1">
                  <c:v>68085</c:v>
                </c:pt>
                <c:pt idx="2">
                  <c:v>79809.399999999994</c:v>
                </c:pt>
                <c:pt idx="3">
                  <c:v>86068.5</c:v>
                </c:pt>
                <c:pt idx="4">
                  <c:v>75660</c:v>
                </c:pt>
                <c:pt idx="5">
                  <c:v>70372</c:v>
                </c:pt>
                <c:pt idx="6">
                  <c:v>88329.8</c:v>
                </c:pt>
                <c:pt idx="7">
                  <c:v>118409.9</c:v>
                </c:pt>
                <c:pt idx="8">
                  <c:v>141858.20000000001</c:v>
                </c:pt>
                <c:pt idx="9">
                  <c:v>152913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DE-47EB-8B2B-FB20448A6883}"/>
            </c:ext>
          </c:extLst>
        </c:ser>
        <c:ser>
          <c:idx val="2"/>
          <c:order val="1"/>
          <c:tx>
            <c:strRef>
              <c:f>'Linear Forecasting'!$E$39</c:f>
              <c:strCache>
                <c:ptCount val="1"/>
                <c:pt idx="0">
                  <c:v>Forecasting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'Linear Forecasting'!$C$40:$C$54</c:f>
              <c:numCache>
                <c:formatCode>0\A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\E">
                  <c:v>2026</c:v>
                </c:pt>
                <c:pt idx="11" formatCode="0\E">
                  <c:v>2027</c:v>
                </c:pt>
                <c:pt idx="12" formatCode="0\E">
                  <c:v>2028</c:v>
                </c:pt>
                <c:pt idx="13" formatCode="0\E">
                  <c:v>2029</c:v>
                </c:pt>
                <c:pt idx="14" formatCode="0\E">
                  <c:v>2030</c:v>
                </c:pt>
              </c:numCache>
            </c:numRef>
          </c:cat>
          <c:val>
            <c:numRef>
              <c:f>'Linear Forecasting'!$E$40:$E$54</c:f>
              <c:numCache>
                <c:formatCode>General</c:formatCode>
                <c:ptCount val="15"/>
                <c:pt idx="9" formatCode="&quot;₹&quot;\ #,##0.00">
                  <c:v>152913</c:v>
                </c:pt>
                <c:pt idx="10" formatCode="&quot;₹&quot;\ #,##0.00">
                  <c:v>146203.70666666669</c:v>
                </c:pt>
                <c:pt idx="11" formatCode="&quot;₹&quot;\ #,##0.00">
                  <c:v>155711.74787878789</c:v>
                </c:pt>
                <c:pt idx="12" formatCode="&quot;₹&quot;\ #,##0.00">
                  <c:v>165219.78909090912</c:v>
                </c:pt>
                <c:pt idx="13" formatCode="&quot;₹&quot;\ #,##0.00">
                  <c:v>174727.83030303032</c:v>
                </c:pt>
                <c:pt idx="14" formatCode="&quot;₹&quot;\ #,##0.00">
                  <c:v>184235.87151515155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DE-47EB-8B2B-FB20448A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524976"/>
        <c:axId val="295519568"/>
      </c:lineChart>
      <c:catAx>
        <c:axId val="2955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19568"/>
        <c:crosses val="autoZero"/>
        <c:auto val="1"/>
        <c:lblAlgn val="ctr"/>
        <c:lblOffset val="100"/>
        <c:noMultiLvlLbl val="0"/>
      </c:catAx>
      <c:valAx>
        <c:axId val="295519568"/>
        <c:scaling>
          <c:orientation val="minMax"/>
          <c:max val="200000"/>
          <c:min val="0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24976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60059292188182"/>
          <c:y val="0.16493324616011446"/>
          <c:w val="0.74311183255460067"/>
          <c:h val="7.0999933672550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EBITDA FORECASTING</a:t>
            </a:r>
            <a:endParaRPr lang="en-IN"/>
          </a:p>
        </c:rich>
      </c:tx>
      <c:layout>
        <c:manualLayout>
          <c:xMode val="edge"/>
          <c:yMode val="edge"/>
          <c:x val="0.21324629533614048"/>
          <c:y val="4.332129963898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5068919414829"/>
          <c:y val="0.27925296341567407"/>
          <c:w val="0.73617721013813531"/>
          <c:h val="0.54976738016051241"/>
        </c:manualLayout>
      </c:layout>
      <c:lineChart>
        <c:grouping val="standard"/>
        <c:varyColors val="0"/>
        <c:ser>
          <c:idx val="1"/>
          <c:order val="0"/>
          <c:tx>
            <c:strRef>
              <c:f>'Linear Forecasting'!$I$39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'Linear Forecasting'!$G$40:$H$54</c:f>
              <c:strCache>
                <c:ptCount val="15"/>
                <c:pt idx="0">
                  <c:v>2016A</c:v>
                </c:pt>
                <c:pt idx="1">
                  <c:v>2017A</c:v>
                </c:pt>
                <c:pt idx="2">
                  <c:v>2018A</c:v>
                </c:pt>
                <c:pt idx="3">
                  <c:v>2019A</c:v>
                </c:pt>
                <c:pt idx="4">
                  <c:v>2020A</c:v>
                </c:pt>
                <c:pt idx="5">
                  <c:v>2021A</c:v>
                </c:pt>
                <c:pt idx="6">
                  <c:v>2022A</c:v>
                </c:pt>
                <c:pt idx="7">
                  <c:v>2023A</c:v>
                </c:pt>
                <c:pt idx="8">
                  <c:v>2024A</c:v>
                </c:pt>
                <c:pt idx="9">
                  <c:v>2025A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  <c:pt idx="13">
                  <c:v>2029E</c:v>
                </c:pt>
                <c:pt idx="14">
                  <c:v>2030E</c:v>
                </c:pt>
              </c:strCache>
            </c:strRef>
          </c:cat>
          <c:val>
            <c:numRef>
              <c:f>'Linear Forecasting'!$I$40:$I$54</c:f>
              <c:numCache>
                <c:formatCode>"₹"\ #,##0.00</c:formatCode>
                <c:ptCount val="15"/>
                <c:pt idx="0">
                  <c:v>9024.0999999999949</c:v>
                </c:pt>
                <c:pt idx="1">
                  <c:v>10421.299999999999</c:v>
                </c:pt>
                <c:pt idx="2">
                  <c:v>12117.899999999987</c:v>
                </c:pt>
                <c:pt idx="3">
                  <c:v>11056.300000000003</c:v>
                </c:pt>
                <c:pt idx="4">
                  <c:v>7355.0000000000018</c:v>
                </c:pt>
                <c:pt idx="5">
                  <c:v>5410.6000000000022</c:v>
                </c:pt>
                <c:pt idx="6">
                  <c:v>5752.0000000000146</c:v>
                </c:pt>
                <c:pt idx="7">
                  <c:v>13121.500000000004</c:v>
                </c:pt>
                <c:pt idx="8">
                  <c:v>18626.300000000014</c:v>
                </c:pt>
                <c:pt idx="9">
                  <c:v>20156.299999999996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3-459B-A370-161A2E8852DF}"/>
            </c:ext>
          </c:extLst>
        </c:ser>
        <c:ser>
          <c:idx val="2"/>
          <c:order val="1"/>
          <c:tx>
            <c:strRef>
              <c:f>'Linear Forecasting'!$J$39</c:f>
              <c:strCache>
                <c:ptCount val="1"/>
                <c:pt idx="0">
                  <c:v>Forecasting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'Linear Forecasting'!$G$40:$H$54</c:f>
              <c:strCache>
                <c:ptCount val="15"/>
                <c:pt idx="0">
                  <c:v>2016A</c:v>
                </c:pt>
                <c:pt idx="1">
                  <c:v>2017A</c:v>
                </c:pt>
                <c:pt idx="2">
                  <c:v>2018A</c:v>
                </c:pt>
                <c:pt idx="3">
                  <c:v>2019A</c:v>
                </c:pt>
                <c:pt idx="4">
                  <c:v>2020A</c:v>
                </c:pt>
                <c:pt idx="5">
                  <c:v>2021A</c:v>
                </c:pt>
                <c:pt idx="6">
                  <c:v>2022A</c:v>
                </c:pt>
                <c:pt idx="7">
                  <c:v>2023A</c:v>
                </c:pt>
                <c:pt idx="8">
                  <c:v>2024A</c:v>
                </c:pt>
                <c:pt idx="9">
                  <c:v>2025A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  <c:pt idx="13">
                  <c:v>2029E</c:v>
                </c:pt>
                <c:pt idx="14">
                  <c:v>2030E</c:v>
                </c:pt>
              </c:strCache>
            </c:strRef>
          </c:cat>
          <c:val>
            <c:numRef>
              <c:f>'Linear Forecasting'!$J$40:$J$54</c:f>
              <c:numCache>
                <c:formatCode>General</c:formatCode>
                <c:ptCount val="15"/>
                <c:pt idx="9" formatCode="&quot;₹&quot;\ #,##0.00">
                  <c:v>20156.299999999996</c:v>
                </c:pt>
                <c:pt idx="10" formatCode="&quot;₹&quot;\ #,##0.00">
                  <c:v>16130.313333333343</c:v>
                </c:pt>
                <c:pt idx="11" formatCode="&quot;₹&quot;\ #,##0.00">
                  <c:v>17007.801212121223</c:v>
                </c:pt>
                <c:pt idx="12" formatCode="&quot;₹&quot;\ #,##0.00">
                  <c:v>17885.289090909104</c:v>
                </c:pt>
                <c:pt idx="13" formatCode="&quot;₹&quot;\ #,##0.00">
                  <c:v>18762.776969696981</c:v>
                </c:pt>
                <c:pt idx="14" formatCode="&quot;₹&quot;\ #,##0.00">
                  <c:v>19640.264848484861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3-459B-A370-161A2E88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524976"/>
        <c:axId val="295519568"/>
      </c:lineChart>
      <c:catAx>
        <c:axId val="2955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19568"/>
        <c:crosses val="autoZero"/>
        <c:auto val="1"/>
        <c:lblAlgn val="ctr"/>
        <c:lblOffset val="100"/>
        <c:noMultiLvlLbl val="0"/>
      </c:catAx>
      <c:valAx>
        <c:axId val="295519568"/>
        <c:scaling>
          <c:orientation val="minMax"/>
          <c:max val="25000"/>
          <c:min val="0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24976"/>
        <c:crosses val="autoZero"/>
        <c:crossBetween val="between"/>
        <c:majorUnit val="5000"/>
        <c:min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60059292188182"/>
          <c:y val="0.16493324616011446"/>
          <c:w val="0.74311183255460067"/>
          <c:h val="7.0999933672550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EBITDA FORECASTING</a:t>
            </a:r>
            <a:endParaRPr lang="en-IN"/>
          </a:p>
        </c:rich>
      </c:tx>
      <c:layout>
        <c:manualLayout>
          <c:xMode val="edge"/>
          <c:yMode val="edge"/>
          <c:x val="0.21324629533614048"/>
          <c:y val="4.332129963898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5068919414829"/>
          <c:y val="0.27925296341567407"/>
          <c:w val="0.73617721013813531"/>
          <c:h val="0.54976738016051241"/>
        </c:manualLayout>
      </c:layout>
      <c:lineChart>
        <c:grouping val="standard"/>
        <c:varyColors val="0"/>
        <c:ser>
          <c:idx val="1"/>
          <c:order val="0"/>
          <c:tx>
            <c:strRef>
              <c:f>'Linear Forecasting'!$N$39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'Linear Forecasting'!$L$40:$M$54</c:f>
              <c:strCache>
                <c:ptCount val="15"/>
                <c:pt idx="0">
                  <c:v>2016A</c:v>
                </c:pt>
                <c:pt idx="1">
                  <c:v>2017A</c:v>
                </c:pt>
                <c:pt idx="2">
                  <c:v>2018A</c:v>
                </c:pt>
                <c:pt idx="3">
                  <c:v>2019A</c:v>
                </c:pt>
                <c:pt idx="4">
                  <c:v>2020A</c:v>
                </c:pt>
                <c:pt idx="5">
                  <c:v>2021A</c:v>
                </c:pt>
                <c:pt idx="6">
                  <c:v>2022A</c:v>
                </c:pt>
                <c:pt idx="7">
                  <c:v>2023A</c:v>
                </c:pt>
                <c:pt idx="8">
                  <c:v>2024A</c:v>
                </c:pt>
                <c:pt idx="9">
                  <c:v>2025A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  <c:pt idx="13">
                  <c:v>2029E</c:v>
                </c:pt>
                <c:pt idx="14">
                  <c:v>2030E</c:v>
                </c:pt>
              </c:strCache>
            </c:strRef>
          </c:cat>
          <c:val>
            <c:numRef>
              <c:f>'Linear Forecasting'!$N$40:$N$54</c:f>
              <c:numCache>
                <c:formatCode>"₹"\ #,##0.00</c:formatCode>
                <c:ptCount val="15"/>
                <c:pt idx="0">
                  <c:v>85.066225165562741</c:v>
                </c:pt>
                <c:pt idx="1">
                  <c:v>89.821192052980123</c:v>
                </c:pt>
                <c:pt idx="2">
                  <c:v>118.26158940397312</c:v>
                </c:pt>
                <c:pt idx="3">
                  <c:v>76.894039735099454</c:v>
                </c:pt>
                <c:pt idx="4">
                  <c:v>-37.85430463576153</c:v>
                </c:pt>
                <c:pt idx="5">
                  <c:v>-56.407284768211859</c:v>
                </c:pt>
                <c:pt idx="6">
                  <c:v>5.2284768211925376</c:v>
                </c:pt>
                <c:pt idx="7">
                  <c:v>109.2143765903309</c:v>
                </c:pt>
                <c:pt idx="8">
                  <c:v>158.81043256997501</c:v>
                </c:pt>
                <c:pt idx="9">
                  <c:v>126.20865139949096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E-4C1D-95C3-62113B52A5FA}"/>
            </c:ext>
          </c:extLst>
        </c:ser>
        <c:ser>
          <c:idx val="2"/>
          <c:order val="1"/>
          <c:tx>
            <c:strRef>
              <c:f>'Linear Forecasting'!$O$39</c:f>
              <c:strCache>
                <c:ptCount val="1"/>
                <c:pt idx="0">
                  <c:v>Forecasting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'Linear Forecasting'!$L$40:$M$54</c:f>
              <c:strCache>
                <c:ptCount val="15"/>
                <c:pt idx="0">
                  <c:v>2016A</c:v>
                </c:pt>
                <c:pt idx="1">
                  <c:v>2017A</c:v>
                </c:pt>
                <c:pt idx="2">
                  <c:v>2018A</c:v>
                </c:pt>
                <c:pt idx="3">
                  <c:v>2019A</c:v>
                </c:pt>
                <c:pt idx="4">
                  <c:v>2020A</c:v>
                </c:pt>
                <c:pt idx="5">
                  <c:v>2021A</c:v>
                </c:pt>
                <c:pt idx="6">
                  <c:v>2022A</c:v>
                </c:pt>
                <c:pt idx="7">
                  <c:v>2023A</c:v>
                </c:pt>
                <c:pt idx="8">
                  <c:v>2024A</c:v>
                </c:pt>
                <c:pt idx="9">
                  <c:v>2025A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  <c:pt idx="13">
                  <c:v>2029E</c:v>
                </c:pt>
                <c:pt idx="14">
                  <c:v>2030E</c:v>
                </c:pt>
              </c:strCache>
            </c:strRef>
          </c:cat>
          <c:val>
            <c:numRef>
              <c:f>'Linear Forecasting'!$O$40:$O$54</c:f>
              <c:numCache>
                <c:formatCode>General</c:formatCode>
                <c:ptCount val="15"/>
                <c:pt idx="9" formatCode="&quot;₹&quot;\ #,##0.00">
                  <c:v>126.20865139949096</c:v>
                </c:pt>
                <c:pt idx="10" formatCode="&quot;₹&quot;\ #,##0.00">
                  <c:v>86.671698992860996</c:v>
                </c:pt>
                <c:pt idx="11" formatCode="&quot;₹&quot;\ #,##0.00">
                  <c:v>90.153037094569711</c:v>
                </c:pt>
                <c:pt idx="12" formatCode="&quot;₹&quot;\ #,##0.00">
                  <c:v>93.634375196278413</c:v>
                </c:pt>
                <c:pt idx="13" formatCode="&quot;₹&quot;\ #,##0.00">
                  <c:v>97.115713297987114</c:v>
                </c:pt>
                <c:pt idx="14" formatCode="&quot;₹&quot;\ #,##0.00">
                  <c:v>100.59705139969583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E-4C1D-95C3-62113B52A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524976"/>
        <c:axId val="295519568"/>
      </c:lineChart>
      <c:catAx>
        <c:axId val="2955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19568"/>
        <c:crosses val="autoZero"/>
        <c:auto val="1"/>
        <c:lblAlgn val="ctr"/>
        <c:lblOffset val="100"/>
        <c:noMultiLvlLbl val="0"/>
      </c:catAx>
      <c:valAx>
        <c:axId val="295519568"/>
        <c:scaling>
          <c:orientation val="minMax"/>
          <c:max val="250"/>
          <c:min val="-200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2497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60059292188182"/>
          <c:y val="0.16493324616011446"/>
          <c:w val="0.74311183255460067"/>
          <c:h val="7.0999933672550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19</xdr:row>
      <xdr:rowOff>171450</xdr:rowOff>
    </xdr:from>
    <xdr:to>
      <xdr:col>5</xdr:col>
      <xdr:colOff>0</xdr:colOff>
      <xdr:row>33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9</xdr:col>
      <xdr:colOff>900113</xdr:colOff>
      <xdr:row>33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14</xdr:col>
      <xdr:colOff>900113</xdr:colOff>
      <xdr:row>33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4" sqref="D4"/>
    </sheetView>
  </sheetViews>
  <sheetFormatPr defaultRowHeight="15" x14ac:dyDescent="0.25"/>
  <cols>
    <col min="1" max="1" width="1.85546875" customWidth="1"/>
    <col min="2" max="2" width="29.85546875" customWidth="1"/>
    <col min="3" max="12" width="11.7109375" customWidth="1"/>
  </cols>
  <sheetData>
    <row r="1" spans="2:12" ht="27" customHeight="1" x14ac:dyDescent="0.25">
      <c r="B1" s="1" t="s">
        <v>183</v>
      </c>
    </row>
    <row r="2" spans="2:12" x14ac:dyDescent="0.25">
      <c r="B2" t="s">
        <v>0</v>
      </c>
    </row>
    <row r="3" spans="2:12" x14ac:dyDescent="0.25">
      <c r="B3" s="167" t="str">
        <f>"Historical Financial Statement"&amp;" - "&amp;B1</f>
        <v>Historical Financial Statement - MARUTI SUZUKI LTD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2" x14ac:dyDescent="0.25">
      <c r="B4" s="2" t="s">
        <v>120</v>
      </c>
      <c r="C4" s="2">
        <v>2016</v>
      </c>
      <c r="D4" s="2">
        <f t="shared" ref="D4:L4" si="0">C4+1</f>
        <v>2017</v>
      </c>
      <c r="E4" s="2">
        <f t="shared" si="0"/>
        <v>2018</v>
      </c>
      <c r="F4" s="2">
        <f t="shared" si="0"/>
        <v>2019</v>
      </c>
      <c r="G4" s="2">
        <f t="shared" si="0"/>
        <v>2020</v>
      </c>
      <c r="H4" s="2">
        <f t="shared" si="0"/>
        <v>2021</v>
      </c>
      <c r="I4" s="2">
        <f t="shared" si="0"/>
        <v>2022</v>
      </c>
      <c r="J4" s="2">
        <f t="shared" si="0"/>
        <v>2023</v>
      </c>
      <c r="K4" s="2">
        <f t="shared" si="0"/>
        <v>2024</v>
      </c>
      <c r="L4" s="2">
        <f t="shared" si="0"/>
        <v>2025</v>
      </c>
    </row>
    <row r="5" spans="2:12" s="4" customForma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s="4" customFormat="1" x14ac:dyDescent="0.25">
      <c r="B6" s="5" t="str">
        <f>"Income Statement"&amp;" - "&amp;B1</f>
        <v>Income Statement - MARUTI SUZUKI LTD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2:12" x14ac:dyDescent="0.25">
      <c r="B7" t="s">
        <v>1</v>
      </c>
      <c r="C7" s="19">
        <f>'Data Sheet'!B17</f>
        <v>57589</v>
      </c>
      <c r="D7" s="19">
        <f>'Data Sheet'!C17</f>
        <v>68085</v>
      </c>
      <c r="E7" s="19">
        <f>'Data Sheet'!D17</f>
        <v>79809.399999999994</v>
      </c>
      <c r="F7" s="19">
        <f>'Data Sheet'!E17</f>
        <v>86068.5</v>
      </c>
      <c r="G7" s="19">
        <f>'Data Sheet'!F17</f>
        <v>75660</v>
      </c>
      <c r="H7" s="19">
        <f>'Data Sheet'!G17</f>
        <v>70372</v>
      </c>
      <c r="I7" s="19">
        <f>'Data Sheet'!H17</f>
        <v>88329.8</v>
      </c>
      <c r="J7" s="19">
        <f>'Data Sheet'!I17</f>
        <v>118409.9</v>
      </c>
      <c r="K7" s="19">
        <f>'Data Sheet'!J17</f>
        <v>141858.20000000001</v>
      </c>
      <c r="L7" s="19">
        <f>'Data Sheet'!K17</f>
        <v>152913</v>
      </c>
    </row>
    <row r="8" spans="2:12" x14ac:dyDescent="0.25">
      <c r="B8" t="s">
        <v>2</v>
      </c>
      <c r="C8" s="19">
        <f>SUM('Data Sheet'!B18,'Data Sheet'!B20,'Data Sheet'!B21,'Data Sheet'!B22)*1-'Data Sheet'!B19</f>
        <v>41828.200000000004</v>
      </c>
      <c r="D8" s="19">
        <f>SUM('Data Sheet'!C18,'Data Sheet'!C20,'Data Sheet'!C21,'Data Sheet'!C22)*1-'Data Sheet'!C19</f>
        <v>50004</v>
      </c>
      <c r="E8" s="19">
        <f>SUM('Data Sheet'!D18,'Data Sheet'!D20,'Data Sheet'!D21,'Data Sheet'!D22)*1-'Data Sheet'!D19</f>
        <v>58985.000000000007</v>
      </c>
      <c r="F8" s="19">
        <f>SUM('Data Sheet'!E18,'Data Sheet'!E20,'Data Sheet'!E21,'Data Sheet'!E22)*1-'Data Sheet'!E19</f>
        <v>64182.2</v>
      </c>
      <c r="G8" s="19">
        <f>SUM('Data Sheet'!F18,'Data Sheet'!F20,'Data Sheet'!F21,'Data Sheet'!F22)*1-'Data Sheet'!F19</f>
        <v>57657.1</v>
      </c>
      <c r="H8" s="19">
        <f>SUM('Data Sheet'!G18,'Data Sheet'!G20,'Data Sheet'!G21,'Data Sheet'!G22)*1-'Data Sheet'!G19</f>
        <v>55415.6</v>
      </c>
      <c r="I8" s="19">
        <f>SUM('Data Sheet'!H18,'Data Sheet'!H20,'Data Sheet'!H21,'Data Sheet'!H22)*1-'Data Sheet'!H19</f>
        <v>71578.799999999988</v>
      </c>
      <c r="J8" s="19">
        <f>SUM('Data Sheet'!I18,'Data Sheet'!I20,'Data Sheet'!I21,'Data Sheet'!I22)*1-'Data Sheet'!I19</f>
        <v>92730.599999999991</v>
      </c>
      <c r="K8" s="19">
        <f>SUM('Data Sheet'!J18,'Data Sheet'!J20,'Data Sheet'!J21,'Data Sheet'!J22)*1-'Data Sheet'!J19</f>
        <v>108015.2</v>
      </c>
      <c r="L8" s="19">
        <f>SUM('Data Sheet'!K18,'Data Sheet'!K20,'Data Sheet'!K21,'Data Sheet'!K22)*1-'Data Sheet'!K19</f>
        <v>114516.8</v>
      </c>
    </row>
    <row r="9" spans="2:12" x14ac:dyDescent="0.25">
      <c r="B9" s="1" t="s">
        <v>6</v>
      </c>
      <c r="C9" s="20">
        <f>C7-C8</f>
        <v>15760.799999999996</v>
      </c>
      <c r="D9" s="20">
        <f t="shared" ref="D9:L9" si="1">D7-D8</f>
        <v>18081</v>
      </c>
      <c r="E9" s="20">
        <f t="shared" si="1"/>
        <v>20824.399999999987</v>
      </c>
      <c r="F9" s="20">
        <f t="shared" si="1"/>
        <v>21886.300000000003</v>
      </c>
      <c r="G9" s="20">
        <f t="shared" si="1"/>
        <v>18002.900000000001</v>
      </c>
      <c r="H9" s="20">
        <f t="shared" si="1"/>
        <v>14956.400000000001</v>
      </c>
      <c r="I9" s="20">
        <f t="shared" si="1"/>
        <v>16751.000000000015</v>
      </c>
      <c r="J9" s="20">
        <f t="shared" si="1"/>
        <v>25679.300000000003</v>
      </c>
      <c r="K9" s="20">
        <f t="shared" si="1"/>
        <v>33843.000000000015</v>
      </c>
      <c r="L9" s="20">
        <f t="shared" si="1"/>
        <v>38396.199999999997</v>
      </c>
    </row>
    <row r="10" spans="2:12" x14ac:dyDescent="0.25">
      <c r="B10" t="s">
        <v>12</v>
      </c>
      <c r="C10" s="21">
        <f>SUM('Data Sheet'!B23:B24)</f>
        <v>6736.7000000000007</v>
      </c>
      <c r="D10" s="21">
        <f>SUM('Data Sheet'!C23:C24)</f>
        <v>7659.7000000000007</v>
      </c>
      <c r="E10" s="21">
        <f>SUM('Data Sheet'!D23:D24)</f>
        <v>8706.5</v>
      </c>
      <c r="F10" s="21">
        <f>SUM('Data Sheet'!E23:E24)</f>
        <v>10830</v>
      </c>
      <c r="G10" s="21">
        <f>SUM('Data Sheet'!F23:F24)</f>
        <v>10647.9</v>
      </c>
      <c r="H10" s="21">
        <f>SUM('Data Sheet'!G23:G24)</f>
        <v>9545.7999999999993</v>
      </c>
      <c r="I10" s="21">
        <f>SUM('Data Sheet'!H23:H24)</f>
        <v>10999</v>
      </c>
      <c r="J10" s="21">
        <f>SUM('Data Sheet'!I23:I24)</f>
        <v>12557.8</v>
      </c>
      <c r="K10" s="21">
        <f>SUM('Data Sheet'!J23:J24)</f>
        <v>15216.7</v>
      </c>
      <c r="L10" s="21">
        <f>SUM('Data Sheet'!K23:K24)</f>
        <v>18239.900000000001</v>
      </c>
    </row>
    <row r="11" spans="2:12" x14ac:dyDescent="0.25">
      <c r="B11" s="1" t="s">
        <v>3</v>
      </c>
      <c r="C11" s="22">
        <f>C9-C10</f>
        <v>9024.0999999999949</v>
      </c>
      <c r="D11" s="22">
        <f t="shared" ref="D11:L11" si="2">D9-D10</f>
        <v>10421.299999999999</v>
      </c>
      <c r="E11" s="22">
        <f t="shared" si="2"/>
        <v>12117.899999999987</v>
      </c>
      <c r="F11" s="22">
        <f t="shared" si="2"/>
        <v>11056.300000000003</v>
      </c>
      <c r="G11" s="22">
        <f t="shared" si="2"/>
        <v>7355.0000000000018</v>
      </c>
      <c r="H11" s="22">
        <f t="shared" si="2"/>
        <v>5410.6000000000022</v>
      </c>
      <c r="I11" s="22">
        <f t="shared" si="2"/>
        <v>5752.0000000000146</v>
      </c>
      <c r="J11" s="22">
        <f t="shared" si="2"/>
        <v>13121.500000000004</v>
      </c>
      <c r="K11" s="22">
        <f t="shared" si="2"/>
        <v>18626.300000000014</v>
      </c>
      <c r="L11" s="22">
        <f t="shared" si="2"/>
        <v>20156.299999999996</v>
      </c>
    </row>
    <row r="12" spans="2:12" x14ac:dyDescent="0.25">
      <c r="B12" t="s">
        <v>4</v>
      </c>
      <c r="C12" s="21">
        <f>'Data Sheet'!B26</f>
        <v>2821.8</v>
      </c>
      <c r="D12" s="21">
        <f>'Data Sheet'!C26</f>
        <v>2603.9</v>
      </c>
      <c r="E12" s="21">
        <f>'Data Sheet'!D26</f>
        <v>2759.8</v>
      </c>
      <c r="F12" s="21">
        <f>'Data Sheet'!E26</f>
        <v>3020.8</v>
      </c>
      <c r="G12" s="21">
        <f>'Data Sheet'!F26</f>
        <v>3528.4</v>
      </c>
      <c r="H12" s="21">
        <f>'Data Sheet'!G26</f>
        <v>3034.1</v>
      </c>
      <c r="I12" s="21">
        <f>'Data Sheet'!H26</f>
        <v>2789</v>
      </c>
      <c r="J12" s="21">
        <f>'Data Sheet'!I26</f>
        <v>4846</v>
      </c>
      <c r="K12" s="21">
        <f>'Data Sheet'!J26</f>
        <v>5255.8</v>
      </c>
      <c r="L12" s="21">
        <f>'Data Sheet'!K26</f>
        <v>5608.2</v>
      </c>
    </row>
    <row r="13" spans="2:12" x14ac:dyDescent="0.25">
      <c r="B13" s="1" t="s">
        <v>16</v>
      </c>
      <c r="C13" s="22">
        <f>C11-C12</f>
        <v>6202.2999999999947</v>
      </c>
      <c r="D13" s="22">
        <f t="shared" ref="D13:L13" si="3">D11-D12</f>
        <v>7817.4</v>
      </c>
      <c r="E13" s="22">
        <f t="shared" si="3"/>
        <v>9358.0999999999876</v>
      </c>
      <c r="F13" s="22">
        <f t="shared" si="3"/>
        <v>8035.5000000000027</v>
      </c>
      <c r="G13" s="22">
        <f t="shared" si="3"/>
        <v>3826.6000000000017</v>
      </c>
      <c r="H13" s="22">
        <f t="shared" si="3"/>
        <v>2376.5000000000023</v>
      </c>
      <c r="I13" s="22">
        <f t="shared" si="3"/>
        <v>2963.0000000000146</v>
      </c>
      <c r="J13" s="22">
        <f t="shared" si="3"/>
        <v>8275.5000000000036</v>
      </c>
      <c r="K13" s="22">
        <f t="shared" si="3"/>
        <v>13370.500000000015</v>
      </c>
      <c r="L13" s="22">
        <f t="shared" si="3"/>
        <v>14548.099999999995</v>
      </c>
    </row>
    <row r="14" spans="2:12" x14ac:dyDescent="0.25">
      <c r="B14" t="s">
        <v>5</v>
      </c>
      <c r="C14" s="21">
        <f>'Data Sheet'!B27</f>
        <v>81.7</v>
      </c>
      <c r="D14" s="21">
        <f>'Data Sheet'!C27</f>
        <v>89.4</v>
      </c>
      <c r="E14" s="21">
        <f>'Data Sheet'!D27</f>
        <v>345.8</v>
      </c>
      <c r="F14" s="21">
        <f>'Data Sheet'!E27</f>
        <v>75.900000000000006</v>
      </c>
      <c r="G14" s="21">
        <f>'Data Sheet'!F27</f>
        <v>134.19999999999999</v>
      </c>
      <c r="H14" s="21">
        <f>'Data Sheet'!G27</f>
        <v>101.8</v>
      </c>
      <c r="I14" s="21">
        <f>'Data Sheet'!H27</f>
        <v>126.6</v>
      </c>
      <c r="J14" s="21">
        <f>'Data Sheet'!I27</f>
        <v>252.3</v>
      </c>
      <c r="K14" s="21">
        <f>'Data Sheet'!J27</f>
        <v>193.6</v>
      </c>
      <c r="L14" s="21">
        <f>'Data Sheet'!K27</f>
        <v>194.2</v>
      </c>
    </row>
    <row r="15" spans="2:12" x14ac:dyDescent="0.25">
      <c r="B15" t="s">
        <v>7</v>
      </c>
      <c r="C15" s="21">
        <f>'Data Sheet'!B25</f>
        <v>1464.1</v>
      </c>
      <c r="D15" s="21">
        <f>'Data Sheet'!C25</f>
        <v>2399.1999999999998</v>
      </c>
      <c r="E15" s="21">
        <f>'Data Sheet'!D25</f>
        <v>2154.6</v>
      </c>
      <c r="F15" s="21">
        <f>'Data Sheet'!E25</f>
        <v>2664.2</v>
      </c>
      <c r="G15" s="21">
        <f>'Data Sheet'!F25</f>
        <v>3410.4</v>
      </c>
      <c r="H15" s="21">
        <f>'Data Sheet'!G25</f>
        <v>3046.3</v>
      </c>
      <c r="I15" s="21">
        <f>'Data Sheet'!H25</f>
        <v>1860.8</v>
      </c>
      <c r="J15" s="21">
        <f>'Data Sheet'!I25</f>
        <v>2415</v>
      </c>
      <c r="K15" s="21">
        <f>'Data Sheet'!J25</f>
        <v>4247.6000000000004</v>
      </c>
      <c r="L15" s="21">
        <f>'Data Sheet'!K25</f>
        <v>5266.1</v>
      </c>
    </row>
    <row r="16" spans="2:12" x14ac:dyDescent="0.25">
      <c r="B16" s="1" t="s">
        <v>8</v>
      </c>
      <c r="C16" s="22">
        <f>C13-SUM(C14:C15)</f>
        <v>4656.4999999999945</v>
      </c>
      <c r="D16" s="22">
        <f t="shared" ref="D16:L16" si="4">D13-SUM(D14:D15)</f>
        <v>5328.7999999999993</v>
      </c>
      <c r="E16" s="22">
        <f t="shared" si="4"/>
        <v>6857.699999999988</v>
      </c>
      <c r="F16" s="22">
        <f t="shared" si="4"/>
        <v>5295.4000000000033</v>
      </c>
      <c r="G16" s="22">
        <f t="shared" si="4"/>
        <v>282.00000000000182</v>
      </c>
      <c r="H16" s="22">
        <f t="shared" si="4"/>
        <v>-771.59999999999809</v>
      </c>
      <c r="I16" s="22">
        <f t="shared" si="4"/>
        <v>975.60000000001469</v>
      </c>
      <c r="J16" s="22">
        <f t="shared" si="4"/>
        <v>5608.2000000000035</v>
      </c>
      <c r="K16" s="22">
        <f t="shared" si="4"/>
        <v>8929.3000000000138</v>
      </c>
      <c r="L16" s="22">
        <f t="shared" si="4"/>
        <v>9087.7999999999956</v>
      </c>
    </row>
    <row r="17" spans="2:12" x14ac:dyDescent="0.25">
      <c r="B17" t="s">
        <v>9</v>
      </c>
      <c r="C17" s="21">
        <f>'Data Sheet'!B29</f>
        <v>2087.5</v>
      </c>
      <c r="D17" s="21">
        <f>'Data Sheet'!C29</f>
        <v>2616.1999999999998</v>
      </c>
      <c r="E17" s="21">
        <f>'Data Sheet'!D29</f>
        <v>3286.2</v>
      </c>
      <c r="F17" s="21">
        <f>'Data Sheet'!E29</f>
        <v>2973.2</v>
      </c>
      <c r="G17" s="21">
        <f>'Data Sheet'!F29</f>
        <v>1425.2</v>
      </c>
      <c r="H17" s="21">
        <f>'Data Sheet'!G29</f>
        <v>931.9</v>
      </c>
      <c r="I17" s="21">
        <f>'Data Sheet'!H29</f>
        <v>817.7</v>
      </c>
      <c r="J17" s="21">
        <f>'Data Sheet'!I29</f>
        <v>2174.5</v>
      </c>
      <c r="K17" s="21">
        <f>'Data Sheet'!J29</f>
        <v>3936.3</v>
      </c>
      <c r="L17" s="21">
        <f>'Data Sheet'!K29</f>
        <v>5119.8</v>
      </c>
    </row>
    <row r="18" spans="2:12" x14ac:dyDescent="0.25">
      <c r="B18" s="52" t="s">
        <v>10</v>
      </c>
      <c r="C18" s="23">
        <f>C16-C17</f>
        <v>2568.9999999999945</v>
      </c>
      <c r="D18" s="23">
        <f t="shared" ref="D18:L18" si="5">D16-D17</f>
        <v>2712.5999999999995</v>
      </c>
      <c r="E18" s="23">
        <f t="shared" si="5"/>
        <v>3571.4999999999882</v>
      </c>
      <c r="F18" s="23">
        <f t="shared" si="5"/>
        <v>2322.2000000000035</v>
      </c>
      <c r="G18" s="23">
        <f t="shared" si="5"/>
        <v>-1143.1999999999982</v>
      </c>
      <c r="H18" s="23">
        <f t="shared" si="5"/>
        <v>-1703.4999999999982</v>
      </c>
      <c r="I18" s="23">
        <f t="shared" si="5"/>
        <v>157.90000000001464</v>
      </c>
      <c r="J18" s="23">
        <f t="shared" si="5"/>
        <v>3433.7000000000035</v>
      </c>
      <c r="K18" s="23">
        <f t="shared" si="5"/>
        <v>4993.0000000000136</v>
      </c>
      <c r="L18" s="23">
        <f t="shared" si="5"/>
        <v>3967.9999999999955</v>
      </c>
    </row>
    <row r="20" spans="2:12" x14ac:dyDescent="0.25">
      <c r="B20" s="24" t="s">
        <v>57</v>
      </c>
      <c r="C20" s="13">
        <f>'Data Sheet'!B57/'Data Sheet'!B72</f>
        <v>30.2</v>
      </c>
      <c r="D20" s="13">
        <f>'Data Sheet'!C57/'Data Sheet'!C72</f>
        <v>30.2</v>
      </c>
      <c r="E20" s="13">
        <f>'Data Sheet'!D57/'Data Sheet'!D72</f>
        <v>30.2</v>
      </c>
      <c r="F20" s="13">
        <f>'Data Sheet'!E57/'Data Sheet'!E72</f>
        <v>30.2</v>
      </c>
      <c r="G20" s="13">
        <f>'Data Sheet'!F57/'Data Sheet'!F72</f>
        <v>30.2</v>
      </c>
      <c r="H20" s="13">
        <f>'Data Sheet'!G57/'Data Sheet'!G72</f>
        <v>30.2</v>
      </c>
      <c r="I20" s="13">
        <f>'Data Sheet'!H57/'Data Sheet'!H72</f>
        <v>30.2</v>
      </c>
      <c r="J20" s="13">
        <f>'Data Sheet'!I57/'Data Sheet'!I72</f>
        <v>31.439999999999998</v>
      </c>
      <c r="K20" s="13">
        <f>'Data Sheet'!J57/'Data Sheet'!J72</f>
        <v>31.439999999999998</v>
      </c>
      <c r="L20" s="13">
        <f>'Data Sheet'!K57/'Data Sheet'!K72</f>
        <v>31.439999999999998</v>
      </c>
    </row>
    <row r="22" spans="2:12" x14ac:dyDescent="0.25">
      <c r="B22" t="s">
        <v>68</v>
      </c>
      <c r="C22" s="25">
        <f>C18/C20</f>
        <v>85.066225165562741</v>
      </c>
      <c r="D22" s="25">
        <f t="shared" ref="D22:L22" si="6">D18/D20</f>
        <v>89.821192052980123</v>
      </c>
      <c r="E22" s="25">
        <f t="shared" si="6"/>
        <v>118.26158940397312</v>
      </c>
      <c r="F22" s="25">
        <f t="shared" si="6"/>
        <v>76.894039735099454</v>
      </c>
      <c r="G22" s="25">
        <f t="shared" si="6"/>
        <v>-37.85430463576153</v>
      </c>
      <c r="H22" s="25">
        <f t="shared" si="6"/>
        <v>-56.407284768211859</v>
      </c>
      <c r="I22" s="25">
        <f t="shared" si="6"/>
        <v>5.2284768211925376</v>
      </c>
      <c r="J22" s="25">
        <f t="shared" si="6"/>
        <v>109.2143765903309</v>
      </c>
      <c r="K22" s="25">
        <f t="shared" si="6"/>
        <v>158.81043256997501</v>
      </c>
      <c r="L22" s="25">
        <f t="shared" si="6"/>
        <v>126.20865139949096</v>
      </c>
    </row>
    <row r="24" spans="2:12" x14ac:dyDescent="0.25">
      <c r="B24" t="s">
        <v>69</v>
      </c>
      <c r="C24" s="25">
        <f>'Data Sheet'!B31/'Historical Financials'!C20</f>
        <v>35</v>
      </c>
      <c r="D24" s="25">
        <f>'Data Sheet'!C31/'Historical Financials'!D20</f>
        <v>75</v>
      </c>
      <c r="E24" s="25">
        <f>'Data Sheet'!D31/'Historical Financials'!E20</f>
        <v>80</v>
      </c>
      <c r="F24" s="25">
        <f>'Data Sheet'!E31/'Historical Financials'!F20</f>
        <v>80</v>
      </c>
      <c r="G24" s="25">
        <f>'Data Sheet'!F31/'Historical Financials'!G20</f>
        <v>60</v>
      </c>
      <c r="H24" s="25">
        <f>'Data Sheet'!G31/'Historical Financials'!H20</f>
        <v>45</v>
      </c>
      <c r="I24" s="25">
        <f>'Data Sheet'!H31/'Historical Financials'!I20</f>
        <v>60</v>
      </c>
      <c r="J24" s="25">
        <f>'Data Sheet'!I31/'Historical Financials'!J20</f>
        <v>90</v>
      </c>
      <c r="K24" s="25">
        <f>'Data Sheet'!J31/'Historical Financials'!K20</f>
        <v>125.00000000000001</v>
      </c>
      <c r="L24" s="25">
        <f>'Data Sheet'!K31/'Historical Financials'!L20</f>
        <v>135</v>
      </c>
    </row>
    <row r="25" spans="2:12" x14ac:dyDescent="0.25">
      <c r="B25" s="26" t="s">
        <v>70</v>
      </c>
      <c r="C25" s="27">
        <f>C24/C22</f>
        <v>0.41144414168937415</v>
      </c>
      <c r="D25" s="27">
        <f t="shared" ref="D25:L25" si="7">D24/D22</f>
        <v>0.83499225834992263</v>
      </c>
      <c r="E25" s="27">
        <f t="shared" si="7"/>
        <v>0.67646647067058885</v>
      </c>
      <c r="F25" s="27">
        <f t="shared" si="7"/>
        <v>1.0403927310309173</v>
      </c>
      <c r="G25" s="27">
        <f t="shared" si="7"/>
        <v>-1.5850244926522068</v>
      </c>
      <c r="H25" s="27">
        <f t="shared" si="7"/>
        <v>-0.79776929850308276</v>
      </c>
      <c r="I25" s="27">
        <f t="shared" si="7"/>
        <v>11.47561747941629</v>
      </c>
      <c r="J25" s="27">
        <f t="shared" si="7"/>
        <v>0.82406733261496257</v>
      </c>
      <c r="K25" s="27">
        <f t="shared" si="7"/>
        <v>0.7871019427198056</v>
      </c>
      <c r="L25" s="27">
        <f t="shared" si="7"/>
        <v>1.0696572580645172</v>
      </c>
    </row>
    <row r="27" spans="2:12" x14ac:dyDescent="0.25">
      <c r="B27" t="s">
        <v>71</v>
      </c>
      <c r="C27" s="28">
        <f>IFERROR(IF(C22&gt;C24,1-C25,0),0)</f>
        <v>0.58855585831062585</v>
      </c>
      <c r="D27" s="28">
        <f t="shared" ref="D27:L27" si="8">IFERROR(IF(D22&gt;D24,1-D25,0),0)</f>
        <v>0.16500774165007737</v>
      </c>
      <c r="E27" s="28">
        <f t="shared" si="8"/>
        <v>0.32353352932941115</v>
      </c>
      <c r="F27" s="28">
        <f t="shared" si="8"/>
        <v>0</v>
      </c>
      <c r="G27" s="28">
        <f t="shared" si="8"/>
        <v>0</v>
      </c>
      <c r="H27" s="28">
        <f t="shared" si="8"/>
        <v>0</v>
      </c>
      <c r="I27" s="28">
        <f t="shared" si="8"/>
        <v>0</v>
      </c>
      <c r="J27" s="28">
        <f t="shared" si="8"/>
        <v>0.17593266738503743</v>
      </c>
      <c r="K27" s="28">
        <f t="shared" si="8"/>
        <v>0.2128980572801944</v>
      </c>
      <c r="L27" s="28">
        <f t="shared" si="8"/>
        <v>0</v>
      </c>
    </row>
    <row r="29" spans="2:12" x14ac:dyDescent="0.25">
      <c r="B29" s="51" t="str">
        <f>"Balance Sheet"&amp;" - "&amp;B1</f>
        <v>Balance Sheet - MARUTI SUZUKI LTD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x14ac:dyDescent="0.25">
      <c r="B30" t="s">
        <v>45</v>
      </c>
      <c r="C30" s="13">
        <f>'Data Sheet'!B57</f>
        <v>151</v>
      </c>
      <c r="D30" s="13">
        <f>'Data Sheet'!C57</f>
        <v>151</v>
      </c>
      <c r="E30" s="13">
        <f>'Data Sheet'!D57</f>
        <v>151</v>
      </c>
      <c r="F30" s="13">
        <f>'Data Sheet'!E57</f>
        <v>151</v>
      </c>
      <c r="G30" s="13">
        <f>'Data Sheet'!F57</f>
        <v>151</v>
      </c>
      <c r="H30" s="13">
        <f>'Data Sheet'!G57</f>
        <v>151</v>
      </c>
      <c r="I30" s="13">
        <f>'Data Sheet'!H57</f>
        <v>151</v>
      </c>
      <c r="J30" s="13">
        <f>'Data Sheet'!I57</f>
        <v>157.19999999999999</v>
      </c>
      <c r="K30" s="13">
        <f>'Data Sheet'!J57</f>
        <v>157.19999999999999</v>
      </c>
      <c r="L30" s="13">
        <f>'Data Sheet'!K57</f>
        <v>157.19999999999999</v>
      </c>
    </row>
    <row r="31" spans="2:12" x14ac:dyDescent="0.25">
      <c r="B31" t="s">
        <v>73</v>
      </c>
      <c r="C31" s="29">
        <f>'Data Sheet'!B58</f>
        <v>30465</v>
      </c>
      <c r="D31" s="29">
        <f>'Data Sheet'!C58</f>
        <v>36924.1</v>
      </c>
      <c r="E31" s="29">
        <f>'Data Sheet'!D58</f>
        <v>42408.4</v>
      </c>
      <c r="F31" s="29">
        <f>'Data Sheet'!E58</f>
        <v>46941.1</v>
      </c>
      <c r="G31" s="29">
        <f>'Data Sheet'!F58</f>
        <v>49262</v>
      </c>
      <c r="H31" s="29">
        <f>'Data Sheet'!G58</f>
        <v>52349.599999999999</v>
      </c>
      <c r="I31" s="29">
        <f>'Data Sheet'!H58</f>
        <v>55182.5</v>
      </c>
      <c r="J31" s="29">
        <f>'Data Sheet'!I58</f>
        <v>74443</v>
      </c>
      <c r="K31" s="29">
        <f>'Data Sheet'!J58</f>
        <v>85478.8</v>
      </c>
      <c r="L31" s="29">
        <f>'Data Sheet'!K58</f>
        <v>96082.7</v>
      </c>
    </row>
    <row r="32" spans="2:12" x14ac:dyDescent="0.25">
      <c r="B32" t="s">
        <v>47</v>
      </c>
      <c r="C32" s="29">
        <f>'Data Sheet'!B59</f>
        <v>230.9</v>
      </c>
      <c r="D32" s="29">
        <f>'Data Sheet'!C59</f>
        <v>483.6</v>
      </c>
      <c r="E32" s="29">
        <f>'Data Sheet'!D59</f>
        <v>120.8</v>
      </c>
      <c r="F32" s="29">
        <f>'Data Sheet'!E59</f>
        <v>159.6</v>
      </c>
      <c r="G32" s="29">
        <f>'Data Sheet'!F59</f>
        <v>184.1</v>
      </c>
      <c r="H32" s="29">
        <f>'Data Sheet'!G59</f>
        <v>540.9</v>
      </c>
      <c r="I32" s="29">
        <f>'Data Sheet'!H59</f>
        <v>425.5</v>
      </c>
      <c r="J32" s="29">
        <f>'Data Sheet'!I59</f>
        <v>1247.5999999999999</v>
      </c>
      <c r="K32" s="29">
        <f>'Data Sheet'!J59</f>
        <v>118.6</v>
      </c>
      <c r="L32" s="29">
        <f>'Data Sheet'!K59</f>
        <v>87</v>
      </c>
    </row>
    <row r="33" spans="2:12" x14ac:dyDescent="0.25">
      <c r="B33" t="s">
        <v>48</v>
      </c>
      <c r="C33" s="29">
        <f>'Data Sheet'!B60</f>
        <v>11878.6</v>
      </c>
      <c r="D33" s="29">
        <f>'Data Sheet'!C60</f>
        <v>14401.8</v>
      </c>
      <c r="E33" s="29">
        <f>'Data Sheet'!D60</f>
        <v>17568.2</v>
      </c>
      <c r="F33" s="29">
        <f>'Data Sheet'!E60</f>
        <v>16717</v>
      </c>
      <c r="G33" s="29">
        <f>'Data Sheet'!F60</f>
        <v>14030.6</v>
      </c>
      <c r="H33" s="29">
        <f>'Data Sheet'!G60</f>
        <v>18334.599999999999</v>
      </c>
      <c r="I33" s="29">
        <f>'Data Sheet'!H60</f>
        <v>18896.5</v>
      </c>
      <c r="J33" s="29">
        <f>'Data Sheet'!I60</f>
        <v>24258.2</v>
      </c>
      <c r="K33" s="29">
        <f>'Data Sheet'!J60</f>
        <v>29549.5</v>
      </c>
      <c r="L33" s="29">
        <f>'Data Sheet'!K60</f>
        <v>35644.9</v>
      </c>
    </row>
    <row r="34" spans="2:12" ht="15.75" thickBot="1" x14ac:dyDescent="0.3">
      <c r="B34" s="30" t="s">
        <v>74</v>
      </c>
      <c r="C34" s="31">
        <f>SUM(C30:C33)</f>
        <v>42725.5</v>
      </c>
      <c r="D34" s="31">
        <f t="shared" ref="D34:L34" si="9">SUM(D30:D33)</f>
        <v>51960.5</v>
      </c>
      <c r="E34" s="31">
        <f t="shared" si="9"/>
        <v>60248.400000000009</v>
      </c>
      <c r="F34" s="31">
        <f t="shared" si="9"/>
        <v>63968.7</v>
      </c>
      <c r="G34" s="31">
        <f t="shared" si="9"/>
        <v>63627.7</v>
      </c>
      <c r="H34" s="31">
        <f t="shared" si="9"/>
        <v>71376.100000000006</v>
      </c>
      <c r="I34" s="31">
        <f t="shared" si="9"/>
        <v>74655.5</v>
      </c>
      <c r="J34" s="31">
        <f t="shared" si="9"/>
        <v>100106</v>
      </c>
      <c r="K34" s="31">
        <f t="shared" si="9"/>
        <v>115304.1</v>
      </c>
      <c r="L34" s="31">
        <f t="shared" si="9"/>
        <v>131971.79999999999</v>
      </c>
    </row>
    <row r="35" spans="2:12" ht="15.75" thickTop="1" x14ac:dyDescent="0.25"/>
    <row r="36" spans="2:12" x14ac:dyDescent="0.25">
      <c r="B36" t="s">
        <v>75</v>
      </c>
      <c r="C36" s="29">
        <f>'Data Sheet'!B62</f>
        <v>12529.6</v>
      </c>
      <c r="D36" s="29">
        <f>'Data Sheet'!C62</f>
        <v>13310.7</v>
      </c>
      <c r="E36" s="29">
        <f>'Data Sheet'!D62</f>
        <v>13388.8</v>
      </c>
      <c r="F36" s="29">
        <f>'Data Sheet'!E62</f>
        <v>15437.3</v>
      </c>
      <c r="G36" s="29">
        <f>'Data Sheet'!F62</f>
        <v>15744.4</v>
      </c>
      <c r="H36" s="29">
        <f>'Data Sheet'!G62</f>
        <v>14988.7</v>
      </c>
      <c r="I36" s="29">
        <f>'Data Sheet'!H62</f>
        <v>13747.2</v>
      </c>
      <c r="J36" s="29">
        <f>'Data Sheet'!I62</f>
        <v>27941.4</v>
      </c>
      <c r="K36" s="29">
        <f>'Data Sheet'!J62</f>
        <v>27864.799999999999</v>
      </c>
      <c r="L36" s="29">
        <f>'Data Sheet'!K62</f>
        <v>33384.5</v>
      </c>
    </row>
    <row r="37" spans="2:12" x14ac:dyDescent="0.25">
      <c r="B37" t="s">
        <v>51</v>
      </c>
      <c r="C37" s="29">
        <f>'Data Sheet'!B63</f>
        <v>1006.9</v>
      </c>
      <c r="D37" s="29">
        <f>'Data Sheet'!C63</f>
        <v>1252.3</v>
      </c>
      <c r="E37" s="29">
        <f>'Data Sheet'!D63</f>
        <v>2132.1</v>
      </c>
      <c r="F37" s="29">
        <f>'Data Sheet'!E63</f>
        <v>1606.9</v>
      </c>
      <c r="G37" s="29">
        <f>'Data Sheet'!F63</f>
        <v>1415.2</v>
      </c>
      <c r="H37" s="29">
        <f>'Data Sheet'!G63</f>
        <v>1496.8</v>
      </c>
      <c r="I37" s="29">
        <f>'Data Sheet'!H63</f>
        <v>2936.5</v>
      </c>
      <c r="J37" s="29">
        <f>'Data Sheet'!I63</f>
        <v>4143</v>
      </c>
      <c r="K37" s="29">
        <f>'Data Sheet'!J63</f>
        <v>7734.8</v>
      </c>
      <c r="L37" s="29">
        <f>'Data Sheet'!K63</f>
        <v>7527.2</v>
      </c>
    </row>
    <row r="38" spans="2:12" x14ac:dyDescent="0.25">
      <c r="B38" t="s">
        <v>52</v>
      </c>
      <c r="C38" s="29">
        <f>'Data Sheet'!B64</f>
        <v>20675.8</v>
      </c>
      <c r="D38" s="29">
        <f>'Data Sheet'!C64</f>
        <v>29150.6</v>
      </c>
      <c r="E38" s="29">
        <f>'Data Sheet'!D64</f>
        <v>36123.1</v>
      </c>
      <c r="F38" s="29">
        <f>'Data Sheet'!E64</f>
        <v>37503.599999999999</v>
      </c>
      <c r="G38" s="29">
        <f>'Data Sheet'!F64</f>
        <v>37488</v>
      </c>
      <c r="H38" s="29">
        <f>'Data Sheet'!G64</f>
        <v>42944.800000000003</v>
      </c>
      <c r="I38" s="29">
        <f>'Data Sheet'!H64</f>
        <v>42034.7</v>
      </c>
      <c r="J38" s="29">
        <f>'Data Sheet'!I64</f>
        <v>49184.3</v>
      </c>
      <c r="K38" s="29">
        <f>'Data Sheet'!J64</f>
        <v>57296</v>
      </c>
      <c r="L38" s="29">
        <f>'Data Sheet'!K64</f>
        <v>66265.399999999994</v>
      </c>
    </row>
    <row r="39" spans="2:12" x14ac:dyDescent="0.25">
      <c r="B39" t="s">
        <v>53</v>
      </c>
      <c r="C39" s="29">
        <f>'Data Sheet'!B65</f>
        <v>8513.2000000000007</v>
      </c>
      <c r="D39" s="29">
        <f>'Data Sheet'!C65</f>
        <v>8246.9</v>
      </c>
      <c r="E39" s="29">
        <f>'Data Sheet'!D65</f>
        <v>8604.4</v>
      </c>
      <c r="F39" s="29">
        <f>'Data Sheet'!E65</f>
        <v>9420.9</v>
      </c>
      <c r="G39" s="29">
        <f>'Data Sheet'!F65</f>
        <v>8980.1</v>
      </c>
      <c r="H39" s="29">
        <f>'Data Sheet'!G65</f>
        <v>11945.8</v>
      </c>
      <c r="I39" s="29">
        <f>'Data Sheet'!H65</f>
        <v>15937.1</v>
      </c>
      <c r="J39" s="29">
        <f>'Data Sheet'!I65</f>
        <v>18837.3</v>
      </c>
      <c r="K39" s="29">
        <f>'Data Sheet'!J65</f>
        <v>22408.5</v>
      </c>
      <c r="L39" s="29">
        <f>'Data Sheet'!K65</f>
        <v>24794.7</v>
      </c>
    </row>
    <row r="40" spans="2:12" x14ac:dyDescent="0.25">
      <c r="B40" s="32" t="s">
        <v>78</v>
      </c>
      <c r="C40" s="33">
        <f>SUM(C36:C39)</f>
        <v>42725.5</v>
      </c>
      <c r="D40" s="33">
        <f t="shared" ref="D40:L40" si="10">SUM(D36:D39)</f>
        <v>51960.5</v>
      </c>
      <c r="E40" s="33">
        <f t="shared" si="10"/>
        <v>60248.4</v>
      </c>
      <c r="F40" s="33">
        <f t="shared" si="10"/>
        <v>63968.700000000004</v>
      </c>
      <c r="G40" s="33">
        <f t="shared" si="10"/>
        <v>63627.7</v>
      </c>
      <c r="H40" s="33">
        <f t="shared" si="10"/>
        <v>71376.100000000006</v>
      </c>
      <c r="I40" s="33">
        <f t="shared" si="10"/>
        <v>74655.5</v>
      </c>
      <c r="J40" s="33">
        <f t="shared" si="10"/>
        <v>100106.00000000001</v>
      </c>
      <c r="K40" s="33">
        <f t="shared" si="10"/>
        <v>115304.1</v>
      </c>
      <c r="L40" s="33">
        <f t="shared" si="10"/>
        <v>131971.79999999999</v>
      </c>
    </row>
    <row r="41" spans="2:12" x14ac:dyDescent="0.25"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2:12" x14ac:dyDescent="0.25">
      <c r="B42" t="s">
        <v>54</v>
      </c>
      <c r="C42" s="29">
        <f>'Data Sheet'!B67</f>
        <v>1323.4</v>
      </c>
      <c r="D42" s="29">
        <f>'Data Sheet'!C67</f>
        <v>1202.5999999999999</v>
      </c>
      <c r="E42" s="29">
        <f>'Data Sheet'!D67</f>
        <v>1465.4</v>
      </c>
      <c r="F42" s="29">
        <f>'Data Sheet'!E67</f>
        <v>2312.8000000000002</v>
      </c>
      <c r="G42" s="29">
        <f>'Data Sheet'!F67</f>
        <v>1977.7</v>
      </c>
      <c r="H42" s="29">
        <f>'Data Sheet'!G67</f>
        <v>1279.9000000000001</v>
      </c>
      <c r="I42" s="29">
        <f>'Data Sheet'!H67</f>
        <v>2034.5</v>
      </c>
      <c r="J42" s="29">
        <f>'Data Sheet'!I67</f>
        <v>3284.8</v>
      </c>
      <c r="K42" s="29">
        <f>'Data Sheet'!J67</f>
        <v>4596.8</v>
      </c>
      <c r="L42" s="29">
        <f>'Data Sheet'!K67</f>
        <v>6539.7</v>
      </c>
    </row>
    <row r="43" spans="2:12" x14ac:dyDescent="0.25">
      <c r="B43" t="s">
        <v>55</v>
      </c>
      <c r="C43" s="29">
        <f>'Data Sheet'!B68</f>
        <v>3132.6</v>
      </c>
      <c r="D43" s="29">
        <f>'Data Sheet'!C68</f>
        <v>3263.7</v>
      </c>
      <c r="E43" s="29">
        <f>'Data Sheet'!D68</f>
        <v>3160.2</v>
      </c>
      <c r="F43" s="29">
        <f>'Data Sheet'!E68</f>
        <v>3322.6</v>
      </c>
      <c r="G43" s="29">
        <f>'Data Sheet'!F68</f>
        <v>3213.9</v>
      </c>
      <c r="H43" s="29">
        <f>'Data Sheet'!G68</f>
        <v>3049</v>
      </c>
      <c r="I43" s="29">
        <f>'Data Sheet'!H68</f>
        <v>3532.3</v>
      </c>
      <c r="J43" s="29">
        <f>'Data Sheet'!I68</f>
        <v>5443.5</v>
      </c>
      <c r="K43" s="29">
        <f>'Data Sheet'!J68</f>
        <v>5318.1</v>
      </c>
      <c r="L43" s="29">
        <f>'Data Sheet'!K68</f>
        <v>6913.2</v>
      </c>
    </row>
    <row r="44" spans="2:12" x14ac:dyDescent="0.25">
      <c r="B44" t="s">
        <v>56</v>
      </c>
      <c r="C44" s="29">
        <f>'Data Sheet'!B69</f>
        <v>50.7</v>
      </c>
      <c r="D44" s="29">
        <f>'Data Sheet'!C69</f>
        <v>23.5</v>
      </c>
      <c r="E44" s="29">
        <f>'Data Sheet'!D69</f>
        <v>74</v>
      </c>
      <c r="F44" s="29">
        <f>'Data Sheet'!E69</f>
        <v>187.8</v>
      </c>
      <c r="G44" s="29">
        <f>'Data Sheet'!F69</f>
        <v>29</v>
      </c>
      <c r="H44" s="29">
        <f>'Data Sheet'!G69</f>
        <v>3047.1</v>
      </c>
      <c r="I44" s="29">
        <f>'Data Sheet'!H69</f>
        <v>3042.2</v>
      </c>
      <c r="J44" s="29">
        <f>'Data Sheet'!I69</f>
        <v>2748.5</v>
      </c>
      <c r="K44" s="29">
        <f>'Data Sheet'!J69</f>
        <v>2827.4</v>
      </c>
      <c r="L44" s="29">
        <f>'Data Sheet'!K69</f>
        <v>552.9</v>
      </c>
    </row>
    <row r="45" spans="2:12" x14ac:dyDescent="0.25">
      <c r="B45" s="32" t="s">
        <v>77</v>
      </c>
      <c r="C45" s="33">
        <f>SUM(C42:C44)</f>
        <v>4506.7</v>
      </c>
      <c r="D45" s="33">
        <f t="shared" ref="D45:L45" si="11">SUM(D42:D44)</f>
        <v>4489.7999999999993</v>
      </c>
      <c r="E45" s="33">
        <f t="shared" si="11"/>
        <v>4699.6000000000004</v>
      </c>
      <c r="F45" s="33">
        <f t="shared" si="11"/>
        <v>5823.2</v>
      </c>
      <c r="G45" s="33">
        <f t="shared" si="11"/>
        <v>5220.6000000000004</v>
      </c>
      <c r="H45" s="33">
        <f t="shared" si="11"/>
        <v>7376</v>
      </c>
      <c r="I45" s="33">
        <f t="shared" si="11"/>
        <v>8609</v>
      </c>
      <c r="J45" s="33">
        <f t="shared" si="11"/>
        <v>11476.8</v>
      </c>
      <c r="K45" s="33">
        <f t="shared" si="11"/>
        <v>12742.300000000001</v>
      </c>
      <c r="L45" s="33">
        <f t="shared" si="11"/>
        <v>14005.8</v>
      </c>
    </row>
    <row r="47" spans="2:12" ht="15.75" thickBot="1" x14ac:dyDescent="0.3">
      <c r="B47" s="30" t="s">
        <v>76</v>
      </c>
      <c r="C47" s="35">
        <f>SUM(C40,C45)</f>
        <v>47232.2</v>
      </c>
      <c r="D47" s="35">
        <f t="shared" ref="D47:L47" si="12">SUM(D40,D45)</f>
        <v>56450.3</v>
      </c>
      <c r="E47" s="35">
        <f t="shared" si="12"/>
        <v>64948</v>
      </c>
      <c r="F47" s="35">
        <f t="shared" si="12"/>
        <v>69791.900000000009</v>
      </c>
      <c r="G47" s="35">
        <f t="shared" si="12"/>
        <v>68848.3</v>
      </c>
      <c r="H47" s="35">
        <f t="shared" si="12"/>
        <v>78752.100000000006</v>
      </c>
      <c r="I47" s="35">
        <f t="shared" si="12"/>
        <v>83264.5</v>
      </c>
      <c r="J47" s="35">
        <f t="shared" si="12"/>
        <v>111582.80000000002</v>
      </c>
      <c r="K47" s="35">
        <f t="shared" si="12"/>
        <v>128046.40000000001</v>
      </c>
      <c r="L47" s="35">
        <f t="shared" si="12"/>
        <v>145977.59999999998</v>
      </c>
    </row>
    <row r="48" spans="2:12" ht="15.75" thickTop="1" x14ac:dyDescent="0.25"/>
    <row r="49" spans="2:12" x14ac:dyDescent="0.25">
      <c r="B49" s="50" t="str">
        <f>"Cash Flow Statement"&amp;" - "&amp;B1</f>
        <v>Cash Flow Statement - MARUTI SUZUKI LTD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2:12" x14ac:dyDescent="0.25">
      <c r="B50" s="1" t="s">
        <v>80</v>
      </c>
    </row>
    <row r="51" spans="2:12" x14ac:dyDescent="0.25">
      <c r="B51" s="24" t="s">
        <v>114</v>
      </c>
      <c r="C51" s="25">
        <f>'Cash Flow'!B4</f>
        <v>5111</v>
      </c>
      <c r="D51" s="25">
        <f>'Cash Flow'!C4</f>
        <v>6779</v>
      </c>
      <c r="E51" s="25">
        <f>'Cash Flow'!D4</f>
        <v>8935</v>
      </c>
      <c r="F51" s="25">
        <f>'Cash Flow'!E4</f>
        <v>10413</v>
      </c>
      <c r="G51" s="25">
        <f>'Cash Flow'!F4</f>
        <v>12036</v>
      </c>
      <c r="H51" s="25">
        <f>'Cash Flow'!G4</f>
        <v>11060</v>
      </c>
      <c r="I51" s="25">
        <f>'Cash Flow'!H4</f>
        <v>7503</v>
      </c>
      <c r="J51" s="25">
        <f>'Cash Flow'!I4</f>
        <v>5531</v>
      </c>
      <c r="K51" s="25">
        <f>'Cash Flow'!J4</f>
        <v>5832</v>
      </c>
      <c r="L51" s="25">
        <f>'Cash Flow'!K4</f>
        <v>13176</v>
      </c>
    </row>
    <row r="52" spans="2:12" x14ac:dyDescent="0.25">
      <c r="B52" t="s">
        <v>106</v>
      </c>
      <c r="C52" s="25">
        <f>'Cash Flow'!B5</f>
        <v>46</v>
      </c>
      <c r="D52" s="25">
        <f>'Cash Flow'!C5</f>
        <v>345</v>
      </c>
      <c r="E52" s="25">
        <f>'Cash Flow'!D5</f>
        <v>-204</v>
      </c>
      <c r="F52" s="25">
        <f>'Cash Flow'!E5</f>
        <v>122</v>
      </c>
      <c r="G52" s="25">
        <f>'Cash Flow'!F5</f>
        <v>-262</v>
      </c>
      <c r="H52" s="25">
        <f>'Cash Flow'!G5</f>
        <v>-851</v>
      </c>
      <c r="I52" s="25">
        <f>'Cash Flow'!H5</f>
        <v>340</v>
      </c>
      <c r="J52" s="25">
        <f>'Cash Flow'!I5</f>
        <v>696</v>
      </c>
      <c r="K52" s="25">
        <f>'Cash Flow'!J5</f>
        <v>-764</v>
      </c>
      <c r="L52" s="25">
        <f>'Cash Flow'!K5</f>
        <v>-1270</v>
      </c>
    </row>
    <row r="53" spans="2:12" x14ac:dyDescent="0.25">
      <c r="B53" t="s">
        <v>55</v>
      </c>
      <c r="C53" s="25">
        <f>'Cash Flow'!B6</f>
        <v>124</v>
      </c>
      <c r="D53" s="25">
        <f>'Cash Flow'!C6</f>
        <v>-982</v>
      </c>
      <c r="E53" s="25">
        <f>'Cash Flow'!D6</f>
        <v>-450</v>
      </c>
      <c r="F53" s="25">
        <f>'Cash Flow'!E6</f>
        <v>-131</v>
      </c>
      <c r="G53" s="25">
        <f>'Cash Flow'!F6</f>
        <v>104</v>
      </c>
      <c r="H53" s="25">
        <f>'Cash Flow'!G6</f>
        <v>-162</v>
      </c>
      <c r="I53" s="25">
        <f>'Cash Flow'!H6</f>
        <v>109</v>
      </c>
      <c r="J53" s="25">
        <f>'Cash Flow'!I6</f>
        <v>165</v>
      </c>
      <c r="K53" s="25">
        <f>'Cash Flow'!J6</f>
        <v>-483</v>
      </c>
      <c r="L53" s="25">
        <f>'Cash Flow'!K6</f>
        <v>-1050</v>
      </c>
    </row>
    <row r="54" spans="2:12" x14ac:dyDescent="0.25">
      <c r="B54" t="s">
        <v>107</v>
      </c>
      <c r="C54" s="25">
        <f>'Cash Flow'!B7</f>
        <v>813</v>
      </c>
      <c r="D54" s="25">
        <f>'Cash Flow'!C7</f>
        <v>712</v>
      </c>
      <c r="E54" s="25">
        <f>'Cash Flow'!D7</f>
        <v>1789</v>
      </c>
      <c r="F54" s="25">
        <f>'Cash Flow'!E7</f>
        <v>979</v>
      </c>
      <c r="G54" s="25">
        <f>'Cash Flow'!F7</f>
        <v>2128</v>
      </c>
      <c r="H54" s="25">
        <f>'Cash Flow'!G7</f>
        <v>-858</v>
      </c>
      <c r="I54" s="25">
        <f>'Cash Flow'!H7</f>
        <v>-2155</v>
      </c>
      <c r="J54" s="25">
        <f>'Cash Flow'!I7</f>
        <v>2680</v>
      </c>
      <c r="K54" s="25">
        <f>'Cash Flow'!J7</f>
        <v>-396</v>
      </c>
      <c r="L54" s="25">
        <f>'Cash Flow'!K7</f>
        <v>2491</v>
      </c>
    </row>
    <row r="55" spans="2:12" x14ac:dyDescent="0.25">
      <c r="B55" t="s">
        <v>108</v>
      </c>
      <c r="C55" s="25">
        <f>'Cash Flow'!B8</f>
        <v>-563</v>
      </c>
      <c r="D55" s="25">
        <f>'Cash Flow'!C8</f>
        <v>23</v>
      </c>
      <c r="E55" s="25">
        <f>'Cash Flow'!D8</f>
        <v>-1</v>
      </c>
      <c r="F55" s="25">
        <f>'Cash Flow'!E8</f>
        <v>1</v>
      </c>
      <c r="G55" s="25">
        <f>'Cash Flow'!F8</f>
        <v>0</v>
      </c>
      <c r="H55" s="25">
        <f>'Cash Flow'!G8</f>
        <v>-13</v>
      </c>
      <c r="I55" s="25">
        <f>'Cash Flow'!H8</f>
        <v>-1</v>
      </c>
      <c r="J55" s="25">
        <f>'Cash Flow'!I8</f>
        <v>-6</v>
      </c>
      <c r="K55" s="25">
        <f>'Cash Flow'!J8</f>
        <v>-8</v>
      </c>
      <c r="L55" s="25">
        <f>'Cash Flow'!K8</f>
        <v>1</v>
      </c>
    </row>
    <row r="56" spans="2:12" x14ac:dyDescent="0.25">
      <c r="B56" t="s">
        <v>109</v>
      </c>
      <c r="C56" s="25">
        <f>'Cash Flow'!B9</f>
        <v>0</v>
      </c>
      <c r="D56" s="25">
        <f>'Cash Flow'!C9</f>
        <v>0</v>
      </c>
      <c r="E56" s="25">
        <f>'Cash Flow'!D9</f>
        <v>0</v>
      </c>
      <c r="F56" s="25">
        <f>'Cash Flow'!E9</f>
        <v>0</v>
      </c>
      <c r="G56" s="25">
        <f>'Cash Flow'!F9</f>
        <v>0</v>
      </c>
      <c r="H56" s="25">
        <f>'Cash Flow'!G9</f>
        <v>0</v>
      </c>
      <c r="I56" s="25">
        <f>'Cash Flow'!H9</f>
        <v>0</v>
      </c>
      <c r="J56" s="25">
        <f>'Cash Flow'!I9</f>
        <v>0</v>
      </c>
      <c r="K56" s="25">
        <f>'Cash Flow'!J9</f>
        <v>0</v>
      </c>
      <c r="L56" s="25">
        <f>'Cash Flow'!K9</f>
        <v>0</v>
      </c>
    </row>
    <row r="57" spans="2:12" x14ac:dyDescent="0.25">
      <c r="B57" t="s">
        <v>110</v>
      </c>
      <c r="C57" s="25">
        <f>'Cash Flow'!B10</f>
        <v>321</v>
      </c>
      <c r="D57" s="25">
        <f>'Cash Flow'!C10</f>
        <v>648</v>
      </c>
      <c r="E57" s="25">
        <f>'Cash Flow'!D10</f>
        <v>325</v>
      </c>
      <c r="F57" s="25">
        <f>'Cash Flow'!E10</f>
        <v>1222</v>
      </c>
      <c r="G57" s="25">
        <f>'Cash Flow'!F10</f>
        <v>839</v>
      </c>
      <c r="H57" s="25">
        <f>'Cash Flow'!G10</f>
        <v>569</v>
      </c>
      <c r="I57" s="25">
        <f>'Cash Flow'!H10</f>
        <v>-863</v>
      </c>
      <c r="J57" s="25">
        <f>'Cash Flow'!I10</f>
        <v>801</v>
      </c>
      <c r="K57" s="25">
        <f>'Cash Flow'!J10</f>
        <v>-1162</v>
      </c>
      <c r="L57" s="25">
        <f>'Cash Flow'!K10</f>
        <v>-269</v>
      </c>
    </row>
    <row r="58" spans="2:12" x14ac:dyDescent="0.25">
      <c r="B58" t="s">
        <v>111</v>
      </c>
      <c r="C58" s="25">
        <f>'Cash Flow'!B11</f>
        <v>742</v>
      </c>
      <c r="D58" s="25">
        <f>'Cash Flow'!C11</f>
        <v>745</v>
      </c>
      <c r="E58" s="25">
        <f>'Cash Flow'!D11</f>
        <v>1460</v>
      </c>
      <c r="F58" s="25">
        <f>'Cash Flow'!E11</f>
        <v>2192</v>
      </c>
      <c r="G58" s="25">
        <f>'Cash Flow'!F11</f>
        <v>2808</v>
      </c>
      <c r="H58" s="25">
        <f>'Cash Flow'!G11</f>
        <v>-1315</v>
      </c>
      <c r="I58" s="25">
        <f>'Cash Flow'!H11</f>
        <v>-2570</v>
      </c>
      <c r="J58" s="25">
        <f>'Cash Flow'!I11</f>
        <v>4336</v>
      </c>
      <c r="K58" s="25">
        <f>'Cash Flow'!J11</f>
        <v>-2813</v>
      </c>
      <c r="L58" s="25">
        <f>'Cash Flow'!K11</f>
        <v>-97</v>
      </c>
    </row>
    <row r="59" spans="2:12" x14ac:dyDescent="0.25">
      <c r="B59" t="s">
        <v>112</v>
      </c>
      <c r="C59" s="25">
        <f>'Cash Flow'!B12</f>
        <v>-858</v>
      </c>
      <c r="D59" s="25">
        <f>'Cash Flow'!C12</f>
        <v>-1075</v>
      </c>
      <c r="E59" s="25">
        <f>'Cash Flow'!D12</f>
        <v>-1912</v>
      </c>
      <c r="F59" s="25">
        <f>'Cash Flow'!E12</f>
        <v>-2323</v>
      </c>
      <c r="G59" s="25">
        <f>'Cash Flow'!F12</f>
        <v>-3056</v>
      </c>
      <c r="H59" s="25">
        <f>'Cash Flow'!G12</f>
        <v>-3144</v>
      </c>
      <c r="I59" s="25">
        <f>'Cash Flow'!H12</f>
        <v>-1438</v>
      </c>
      <c r="J59" s="25">
        <f>'Cash Flow'!I12</f>
        <v>-1011</v>
      </c>
      <c r="K59" s="25">
        <f>'Cash Flow'!J12</f>
        <v>-1178</v>
      </c>
      <c r="L59" s="25">
        <f>'Cash Flow'!K12</f>
        <v>-2265</v>
      </c>
    </row>
    <row r="60" spans="2:12" x14ac:dyDescent="0.25">
      <c r="B60" s="32" t="s">
        <v>113</v>
      </c>
      <c r="C60" s="53">
        <f>SUM(C51:C59)</f>
        <v>5736</v>
      </c>
      <c r="D60" s="53">
        <f t="shared" ref="D60:L60" si="13">SUM(D51:D59)</f>
        <v>7195</v>
      </c>
      <c r="E60" s="53">
        <f t="shared" si="13"/>
        <v>9942</v>
      </c>
      <c r="F60" s="53">
        <f t="shared" si="13"/>
        <v>12475</v>
      </c>
      <c r="G60" s="53">
        <f t="shared" si="13"/>
        <v>14597</v>
      </c>
      <c r="H60" s="53">
        <f t="shared" si="13"/>
        <v>5286</v>
      </c>
      <c r="I60" s="53">
        <f t="shared" si="13"/>
        <v>925</v>
      </c>
      <c r="J60" s="53">
        <f t="shared" si="13"/>
        <v>13192</v>
      </c>
      <c r="K60" s="53">
        <f t="shared" si="13"/>
        <v>-972</v>
      </c>
      <c r="L60" s="53">
        <f t="shared" si="13"/>
        <v>10717</v>
      </c>
    </row>
    <row r="62" spans="2:12" x14ac:dyDescent="0.25">
      <c r="B62" s="1" t="s">
        <v>115</v>
      </c>
    </row>
    <row r="63" spans="2:12" x14ac:dyDescent="0.25">
      <c r="B63" t="s">
        <v>90</v>
      </c>
      <c r="C63" s="25">
        <f>'Cash Flow'!B14</f>
        <v>-3545</v>
      </c>
      <c r="D63" s="25">
        <f>'Cash Flow'!C14</f>
        <v>-3058</v>
      </c>
      <c r="E63" s="25">
        <f>'Cash Flow'!D14</f>
        <v>-2469</v>
      </c>
      <c r="F63" s="25">
        <f>'Cash Flow'!E14</f>
        <v>-3391</v>
      </c>
      <c r="G63" s="25">
        <f>'Cash Flow'!F14</f>
        <v>-3912</v>
      </c>
      <c r="H63" s="25">
        <f>'Cash Flow'!G14</f>
        <v>-4872</v>
      </c>
      <c r="I63" s="25">
        <f>'Cash Flow'!H14</f>
        <v>-3437</v>
      </c>
      <c r="J63" s="25">
        <f>'Cash Flow'!I14</f>
        <v>-2370</v>
      </c>
      <c r="K63" s="25">
        <f>'Cash Flow'!J14</f>
        <v>-3459</v>
      </c>
      <c r="L63" s="25">
        <f>'Cash Flow'!K14</f>
        <v>-8065</v>
      </c>
    </row>
    <row r="64" spans="2:12" x14ac:dyDescent="0.25">
      <c r="B64" t="s">
        <v>91</v>
      </c>
      <c r="C64" s="25">
        <f>'Cash Flow'!B15</f>
        <v>9</v>
      </c>
      <c r="D64" s="25">
        <f>'Cash Flow'!C15</f>
        <v>16</v>
      </c>
      <c r="E64" s="25">
        <f>'Cash Flow'!D15</f>
        <v>12</v>
      </c>
      <c r="F64" s="25">
        <f>'Cash Flow'!E15</f>
        <v>16</v>
      </c>
      <c r="G64" s="25">
        <f>'Cash Flow'!F15</f>
        <v>26</v>
      </c>
      <c r="H64" s="25">
        <f>'Cash Flow'!G15</f>
        <v>170</v>
      </c>
      <c r="I64" s="25">
        <f>'Cash Flow'!H15</f>
        <v>37</v>
      </c>
      <c r="J64" s="25">
        <f>'Cash Flow'!I15</f>
        <v>42</v>
      </c>
      <c r="K64" s="25">
        <f>'Cash Flow'!J15</f>
        <v>136</v>
      </c>
      <c r="L64" s="25">
        <f>'Cash Flow'!K15</f>
        <v>109</v>
      </c>
    </row>
    <row r="65" spans="2:12" x14ac:dyDescent="0.25">
      <c r="B65" t="s">
        <v>92</v>
      </c>
      <c r="C65" s="25">
        <f>'Cash Flow'!B16</f>
        <v>-13100</v>
      </c>
      <c r="D65" s="25">
        <f>'Cash Flow'!C16</f>
        <v>-17354</v>
      </c>
      <c r="E65" s="25">
        <f>'Cash Flow'!D16</f>
        <v>-12044</v>
      </c>
      <c r="F65" s="25">
        <f>'Cash Flow'!E16</f>
        <v>-17716</v>
      </c>
      <c r="G65" s="25">
        <f>'Cash Flow'!F16</f>
        <v>-47069</v>
      </c>
      <c r="H65" s="25">
        <f>'Cash Flow'!G16</f>
        <v>-52957</v>
      </c>
      <c r="I65" s="25">
        <f>'Cash Flow'!H16</f>
        <v>-44205</v>
      </c>
      <c r="J65" s="25">
        <f>'Cash Flow'!I16</f>
        <v>-44869</v>
      </c>
      <c r="K65" s="25">
        <f>'Cash Flow'!J16</f>
        <v>-60525</v>
      </c>
      <c r="L65" s="25">
        <f>'Cash Flow'!K16</f>
        <v>-66597</v>
      </c>
    </row>
    <row r="66" spans="2:12" x14ac:dyDescent="0.25">
      <c r="B66" t="s">
        <v>93</v>
      </c>
      <c r="C66" s="25">
        <f>'Cash Flow'!B17</f>
        <v>10450</v>
      </c>
      <c r="D66" s="25">
        <f>'Cash Flow'!C17</f>
        <v>15270</v>
      </c>
      <c r="E66" s="25">
        <f>'Cash Flow'!D17</f>
        <v>7378</v>
      </c>
      <c r="F66" s="25">
        <f>'Cash Flow'!E17</f>
        <v>11839</v>
      </c>
      <c r="G66" s="25">
        <f>'Cash Flow'!F17</f>
        <v>42564</v>
      </c>
      <c r="H66" s="25">
        <f>'Cash Flow'!G17</f>
        <v>53986</v>
      </c>
      <c r="I66" s="25">
        <f>'Cash Flow'!H17</f>
        <v>46969</v>
      </c>
      <c r="J66" s="25">
        <f>'Cash Flow'!I17</f>
        <v>42920</v>
      </c>
      <c r="K66" s="25">
        <f>'Cash Flow'!J17</f>
        <v>63579</v>
      </c>
      <c r="L66" s="25">
        <f>'Cash Flow'!K17</f>
        <v>61605</v>
      </c>
    </row>
    <row r="67" spans="2:12" x14ac:dyDescent="0.25">
      <c r="B67" t="s">
        <v>94</v>
      </c>
      <c r="C67" s="25">
        <f>'Cash Flow'!B18</f>
        <v>195</v>
      </c>
      <c r="D67" s="25">
        <f>'Cash Flow'!C18</f>
        <v>152</v>
      </c>
      <c r="E67" s="25">
        <f>'Cash Flow'!D18</f>
        <v>67</v>
      </c>
      <c r="F67" s="25">
        <f>'Cash Flow'!E18</f>
        <v>36</v>
      </c>
      <c r="G67" s="25">
        <f>'Cash Flow'!F18</f>
        <v>68</v>
      </c>
      <c r="H67" s="25">
        <f>'Cash Flow'!G18</f>
        <v>124</v>
      </c>
      <c r="I67" s="25">
        <f>'Cash Flow'!H18</f>
        <v>96</v>
      </c>
      <c r="J67" s="25">
        <f>'Cash Flow'!I18</f>
        <v>67</v>
      </c>
      <c r="K67" s="25">
        <f>'Cash Flow'!J18</f>
        <v>174</v>
      </c>
      <c r="L67" s="25">
        <f>'Cash Flow'!K18</f>
        <v>313</v>
      </c>
    </row>
    <row r="68" spans="2:12" x14ac:dyDescent="0.25">
      <c r="B68" t="s">
        <v>95</v>
      </c>
      <c r="C68" s="25">
        <f>'Cash Flow'!B19</f>
        <v>54</v>
      </c>
      <c r="D68" s="25">
        <f>'Cash Flow'!C19</f>
        <v>54</v>
      </c>
      <c r="E68" s="25">
        <f>'Cash Flow'!D19</f>
        <v>11</v>
      </c>
      <c r="F68" s="25">
        <f>'Cash Flow'!E19</f>
        <v>13</v>
      </c>
      <c r="G68" s="25">
        <f>'Cash Flow'!F19</f>
        <v>20</v>
      </c>
      <c r="H68" s="25">
        <f>'Cash Flow'!G19</f>
        <v>9</v>
      </c>
      <c r="I68" s="25">
        <f>'Cash Flow'!H19</f>
        <v>4</v>
      </c>
      <c r="J68" s="25">
        <f>'Cash Flow'!I19</f>
        <v>3</v>
      </c>
      <c r="K68" s="25">
        <f>'Cash Flow'!J19</f>
        <v>3</v>
      </c>
      <c r="L68" s="25">
        <f>'Cash Flow'!K19</f>
        <v>6</v>
      </c>
    </row>
    <row r="69" spans="2:12" x14ac:dyDescent="0.25">
      <c r="B69" t="s">
        <v>96</v>
      </c>
      <c r="C69" s="25">
        <f>'Cash Flow'!B20</f>
        <v>0</v>
      </c>
      <c r="D69" s="25">
        <f>'Cash Flow'!C20</f>
        <v>0</v>
      </c>
      <c r="E69" s="25">
        <f>'Cash Flow'!D20</f>
        <v>0</v>
      </c>
      <c r="F69" s="25">
        <f>'Cash Flow'!E20</f>
        <v>22</v>
      </c>
      <c r="G69" s="25">
        <f>'Cash Flow'!F20</f>
        <v>0</v>
      </c>
      <c r="H69" s="25">
        <f>'Cash Flow'!G20</f>
        <v>0</v>
      </c>
      <c r="I69" s="25">
        <f>'Cash Flow'!H20</f>
        <v>0</v>
      </c>
      <c r="J69" s="25">
        <f>'Cash Flow'!I20</f>
        <v>0</v>
      </c>
      <c r="K69" s="25">
        <f>'Cash Flow'!J20</f>
        <v>0</v>
      </c>
      <c r="L69" s="25">
        <f>'Cash Flow'!K20</f>
        <v>0</v>
      </c>
    </row>
    <row r="70" spans="2:12" x14ac:dyDescent="0.25">
      <c r="B70" t="s">
        <v>97</v>
      </c>
      <c r="C70" s="25">
        <f>'Cash Flow'!B21</f>
        <v>0</v>
      </c>
      <c r="D70" s="25">
        <f>'Cash Flow'!C21</f>
        <v>0</v>
      </c>
      <c r="E70" s="25">
        <f>'Cash Flow'!D21</f>
        <v>0</v>
      </c>
      <c r="F70" s="25">
        <f>'Cash Flow'!E21</f>
        <v>0</v>
      </c>
      <c r="G70" s="25">
        <f>'Cash Flow'!F21</f>
        <v>0</v>
      </c>
      <c r="H70" s="25">
        <f>'Cash Flow'!G21</f>
        <v>0</v>
      </c>
      <c r="I70" s="25">
        <f>'Cash Flow'!H21</f>
        <v>-15</v>
      </c>
      <c r="J70" s="25">
        <f>'Cash Flow'!I21</f>
        <v>-65</v>
      </c>
      <c r="K70" s="25">
        <f>'Cash Flow'!J21</f>
        <v>-146</v>
      </c>
      <c r="L70" s="25">
        <f>'Cash Flow'!K21</f>
        <v>0</v>
      </c>
    </row>
    <row r="71" spans="2:12" x14ac:dyDescent="0.25">
      <c r="B71" t="s">
        <v>98</v>
      </c>
      <c r="C71" s="25">
        <f>'Cash Flow'!B22</f>
        <v>940</v>
      </c>
      <c r="D71" s="25">
        <f>'Cash Flow'!C22</f>
        <v>428</v>
      </c>
      <c r="E71" s="25">
        <f>'Cash Flow'!D22</f>
        <v>-186</v>
      </c>
      <c r="F71" s="25">
        <f>'Cash Flow'!E22</f>
        <v>7</v>
      </c>
      <c r="G71" s="25">
        <f>'Cash Flow'!F22</f>
        <v>0</v>
      </c>
      <c r="H71" s="25">
        <f>'Cash Flow'!G22</f>
        <v>0</v>
      </c>
      <c r="I71" s="25">
        <f>'Cash Flow'!H22</f>
        <v>-5</v>
      </c>
      <c r="J71" s="25">
        <f>'Cash Flow'!I22</f>
        <v>-3019</v>
      </c>
      <c r="K71" s="25">
        <f>'Cash Flow'!J22</f>
        <v>-1</v>
      </c>
      <c r="L71" s="25">
        <f>'Cash Flow'!K22</f>
        <v>3808</v>
      </c>
    </row>
    <row r="72" spans="2:12" x14ac:dyDescent="0.25">
      <c r="B72" s="32" t="s">
        <v>116</v>
      </c>
      <c r="C72" s="53">
        <f>SUM(C63:C71)</f>
        <v>-4997</v>
      </c>
      <c r="D72" s="53">
        <f t="shared" ref="D72:L72" si="14">SUM(D63:D71)</f>
        <v>-4492</v>
      </c>
      <c r="E72" s="53">
        <f t="shared" si="14"/>
        <v>-7231</v>
      </c>
      <c r="F72" s="53">
        <f t="shared" si="14"/>
        <v>-9174</v>
      </c>
      <c r="G72" s="53">
        <f t="shared" si="14"/>
        <v>-8303</v>
      </c>
      <c r="H72" s="53">
        <f t="shared" si="14"/>
        <v>-3540</v>
      </c>
      <c r="I72" s="53">
        <f t="shared" si="14"/>
        <v>-556</v>
      </c>
      <c r="J72" s="53">
        <f t="shared" si="14"/>
        <v>-7291</v>
      </c>
      <c r="K72" s="53">
        <f t="shared" si="14"/>
        <v>-239</v>
      </c>
      <c r="L72" s="53">
        <f t="shared" si="14"/>
        <v>-8821</v>
      </c>
    </row>
    <row r="73" spans="2:12" x14ac:dyDescent="0.25">
      <c r="B73" s="54"/>
    </row>
    <row r="74" spans="2:12" x14ac:dyDescent="0.25">
      <c r="B74" s="1" t="s">
        <v>117</v>
      </c>
    </row>
    <row r="75" spans="2:12" x14ac:dyDescent="0.25">
      <c r="B75" t="s">
        <v>100</v>
      </c>
      <c r="C75" s="25">
        <f>'Cash Flow'!B24</f>
        <v>1264</v>
      </c>
      <c r="D75" s="25">
        <f>'Cash Flow'!C24</f>
        <v>92</v>
      </c>
      <c r="E75" s="25">
        <f>'Cash Flow'!D24</f>
        <v>77</v>
      </c>
      <c r="F75" s="25">
        <f>'Cash Flow'!E24</f>
        <v>484</v>
      </c>
      <c r="G75" s="25">
        <f>'Cash Flow'!F24</f>
        <v>10</v>
      </c>
      <c r="H75" s="25">
        <f>'Cash Flow'!G24</f>
        <v>39</v>
      </c>
      <c r="I75" s="25">
        <f>'Cash Flow'!H24</f>
        <v>0</v>
      </c>
      <c r="J75" s="25">
        <f>'Cash Flow'!I24</f>
        <v>380</v>
      </c>
      <c r="K75" s="25">
        <f>'Cash Flow'!J24</f>
        <v>0</v>
      </c>
      <c r="L75" s="25">
        <f>'Cash Flow'!K24</f>
        <v>831</v>
      </c>
    </row>
    <row r="76" spans="2:12" x14ac:dyDescent="0.25">
      <c r="B76" t="s">
        <v>101</v>
      </c>
      <c r="C76" s="25">
        <f>'Cash Flow'!B25</f>
        <v>-885</v>
      </c>
      <c r="D76" s="25">
        <f>'Cash Flow'!C25</f>
        <v>-1449</v>
      </c>
      <c r="E76" s="25">
        <f>'Cash Flow'!D25</f>
        <v>-313</v>
      </c>
      <c r="F76" s="25">
        <f>'Cash Flow'!E25</f>
        <v>-231</v>
      </c>
      <c r="G76" s="25">
        <f>'Cash Flow'!F25</f>
        <v>-373</v>
      </c>
      <c r="H76" s="25">
        <f>'Cash Flow'!G25</f>
        <v>0</v>
      </c>
      <c r="I76" s="25">
        <f>'Cash Flow'!H25</f>
        <v>-46</v>
      </c>
      <c r="J76" s="25">
        <f>'Cash Flow'!I25</f>
        <v>0</v>
      </c>
      <c r="K76" s="25">
        <f>'Cash Flow'!J25</f>
        <v>-110</v>
      </c>
      <c r="L76" s="25">
        <f>'Cash Flow'!K25</f>
        <v>0</v>
      </c>
    </row>
    <row r="77" spans="2:12" x14ac:dyDescent="0.25">
      <c r="B77" t="s">
        <v>102</v>
      </c>
      <c r="C77" s="25">
        <f>'Cash Flow'!B26</f>
        <v>-170</v>
      </c>
      <c r="D77" s="25">
        <f>'Cash Flow'!C26</f>
        <v>-222</v>
      </c>
      <c r="E77" s="25">
        <f>'Cash Flow'!D26</f>
        <v>-92</v>
      </c>
      <c r="F77" s="25">
        <f>'Cash Flow'!E26</f>
        <v>-110</v>
      </c>
      <c r="G77" s="25">
        <f>'Cash Flow'!F26</f>
        <v>-346</v>
      </c>
      <c r="H77" s="25">
        <f>'Cash Flow'!G26</f>
        <v>-73</v>
      </c>
      <c r="I77" s="25">
        <f>'Cash Flow'!H26</f>
        <v>-136</v>
      </c>
      <c r="J77" s="25">
        <f>'Cash Flow'!I26</f>
        <v>-102</v>
      </c>
      <c r="K77" s="25">
        <f>'Cash Flow'!J26</f>
        <v>-130</v>
      </c>
      <c r="L77" s="25">
        <f>'Cash Flow'!K26</f>
        <v>-186</v>
      </c>
    </row>
    <row r="78" spans="2:12" x14ac:dyDescent="0.25">
      <c r="B78" t="s">
        <v>103</v>
      </c>
      <c r="C78" s="25">
        <f>'Cash Flow'!B27</f>
        <v>-242</v>
      </c>
      <c r="D78" s="25">
        <f>'Cash Flow'!C27</f>
        <v>-362</v>
      </c>
      <c r="E78" s="25">
        <f>'Cash Flow'!D27</f>
        <v>-755</v>
      </c>
      <c r="F78" s="25">
        <f>'Cash Flow'!E27</f>
        <v>-1057</v>
      </c>
      <c r="G78" s="25">
        <f>'Cash Flow'!F27</f>
        <v>-2266</v>
      </c>
      <c r="H78" s="25">
        <f>'Cash Flow'!G27</f>
        <v>-2417</v>
      </c>
      <c r="I78" s="25">
        <f>'Cash Flow'!H27</f>
        <v>-2417</v>
      </c>
      <c r="J78" s="25">
        <f>'Cash Flow'!I27</f>
        <v>-1812</v>
      </c>
      <c r="K78" s="25">
        <f>'Cash Flow'!J27</f>
        <v>-1359</v>
      </c>
      <c r="L78" s="25">
        <f>'Cash Flow'!K27</f>
        <v>-1812</v>
      </c>
    </row>
    <row r="79" spans="2:12" x14ac:dyDescent="0.25">
      <c r="B79" t="s">
        <v>104</v>
      </c>
      <c r="C79" s="25">
        <f>'Cash Flow'!B28</f>
        <v>0</v>
      </c>
      <c r="D79" s="25">
        <f>'Cash Flow'!C28</f>
        <v>0</v>
      </c>
      <c r="E79" s="25">
        <f>'Cash Flow'!D28</f>
        <v>0</v>
      </c>
      <c r="F79" s="25">
        <f>'Cash Flow'!E28</f>
        <v>0</v>
      </c>
      <c r="G79" s="25">
        <f>'Cash Flow'!F28</f>
        <v>0</v>
      </c>
      <c r="H79" s="25">
        <f>'Cash Flow'!G28</f>
        <v>0</v>
      </c>
      <c r="I79" s="25">
        <f>'Cash Flow'!H28</f>
        <v>-10</v>
      </c>
      <c r="J79" s="25">
        <f>'Cash Flow'!I28</f>
        <v>-11</v>
      </c>
      <c r="K79" s="25">
        <f>'Cash Flow'!J28</f>
        <v>-8</v>
      </c>
      <c r="L79" s="25">
        <f>'Cash Flow'!K28</f>
        <v>-47</v>
      </c>
    </row>
    <row r="80" spans="2:12" x14ac:dyDescent="0.25">
      <c r="B80" t="s">
        <v>105</v>
      </c>
      <c r="C80" s="25">
        <f>'Cash Flow'!B29</f>
        <v>-41</v>
      </c>
      <c r="D80" s="25">
        <f>'Cash Flow'!C29</f>
        <v>-62</v>
      </c>
      <c r="E80" s="25">
        <f>'Cash Flow'!D29</f>
        <v>-154</v>
      </c>
      <c r="F80" s="25">
        <f>'Cash Flow'!E29</f>
        <v>-215</v>
      </c>
      <c r="G80" s="25">
        <f>'Cash Flow'!F29</f>
        <v>-461</v>
      </c>
      <c r="H80" s="25">
        <f>'Cash Flow'!G29</f>
        <v>-497</v>
      </c>
      <c r="I80" s="25">
        <f>'Cash Flow'!H29</f>
        <v>-497</v>
      </c>
      <c r="J80" s="25">
        <f>'Cash Flow'!I29</f>
        <v>0</v>
      </c>
      <c r="K80" s="25">
        <f>'Cash Flow'!J29</f>
        <v>0</v>
      </c>
      <c r="L80" s="25">
        <f>'Cash Flow'!K29</f>
        <v>0</v>
      </c>
    </row>
    <row r="81" spans="2:12" x14ac:dyDescent="0.25">
      <c r="B81" s="32" t="s">
        <v>118</v>
      </c>
      <c r="C81" s="53">
        <f>SUM(C75:C80)</f>
        <v>-74</v>
      </c>
      <c r="D81" s="53">
        <f t="shared" ref="D81:L81" si="15">SUM(D75:D80)</f>
        <v>-2003</v>
      </c>
      <c r="E81" s="53">
        <f t="shared" si="15"/>
        <v>-1237</v>
      </c>
      <c r="F81" s="53">
        <f t="shared" si="15"/>
        <v>-1129</v>
      </c>
      <c r="G81" s="53">
        <f t="shared" si="15"/>
        <v>-3436</v>
      </c>
      <c r="H81" s="53">
        <f t="shared" si="15"/>
        <v>-2948</v>
      </c>
      <c r="I81" s="53">
        <f t="shared" si="15"/>
        <v>-3106</v>
      </c>
      <c r="J81" s="53">
        <f t="shared" si="15"/>
        <v>-1545</v>
      </c>
      <c r="K81" s="53">
        <f t="shared" si="15"/>
        <v>-1607</v>
      </c>
      <c r="L81" s="53">
        <f t="shared" si="15"/>
        <v>-1214</v>
      </c>
    </row>
    <row r="83" spans="2:12" ht="15.75" thickBot="1" x14ac:dyDescent="0.3">
      <c r="B83" s="30" t="s">
        <v>64</v>
      </c>
      <c r="C83" s="55">
        <f>SUM(C81,C72,C60)</f>
        <v>665</v>
      </c>
      <c r="D83" s="55">
        <f t="shared" ref="D83:L83" si="16">SUM(D81,D72,D60)</f>
        <v>700</v>
      </c>
      <c r="E83" s="55">
        <f t="shared" si="16"/>
        <v>1474</v>
      </c>
      <c r="F83" s="55">
        <f t="shared" si="16"/>
        <v>2172</v>
      </c>
      <c r="G83" s="55">
        <f t="shared" si="16"/>
        <v>2858</v>
      </c>
      <c r="H83" s="55">
        <f t="shared" si="16"/>
        <v>-1202</v>
      </c>
      <c r="I83" s="55">
        <f t="shared" si="16"/>
        <v>-2737</v>
      </c>
      <c r="J83" s="55">
        <f t="shared" si="16"/>
        <v>4356</v>
      </c>
      <c r="K83" s="55">
        <f t="shared" si="16"/>
        <v>-2818</v>
      </c>
      <c r="L83" s="55">
        <f t="shared" si="16"/>
        <v>682</v>
      </c>
    </row>
    <row r="84" spans="2:12" ht="15.75" thickTop="1" x14ac:dyDescent="0.25"/>
  </sheetData>
  <mergeCells count="1">
    <mergeCell ref="B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:B17"/>
    </sheetView>
  </sheetViews>
  <sheetFormatPr defaultRowHeight="15" x14ac:dyDescent="0.25"/>
  <cols>
    <col min="1" max="1" width="2.28515625" customWidth="1"/>
    <col min="2" max="2" width="28.7109375" bestFit="1" customWidth="1"/>
    <col min="3" max="3" width="11.7109375" customWidth="1"/>
    <col min="4" max="12" width="11.7109375" style="90" customWidth="1"/>
  </cols>
  <sheetData>
    <row r="2" spans="2:12" x14ac:dyDescent="0.25">
      <c r="B2" s="2"/>
      <c r="C2" s="167" t="str">
        <f>"Comparative Analysis"&amp;" - "&amp;'Historical Financials'!B1</f>
        <v>Comparative Analysis - MARUTI SUZUKI LTD</v>
      </c>
      <c r="D2" s="167"/>
      <c r="E2" s="167"/>
      <c r="F2" s="167"/>
      <c r="G2" s="167"/>
      <c r="H2" s="167"/>
      <c r="I2" s="167"/>
      <c r="J2" s="167"/>
      <c r="K2" s="167"/>
      <c r="L2" s="93"/>
    </row>
    <row r="3" spans="2:12" x14ac:dyDescent="0.25">
      <c r="B3" s="2" t="s">
        <v>120</v>
      </c>
      <c r="C3" s="2">
        <v>2016</v>
      </c>
      <c r="D3" s="121">
        <f>C3+1</f>
        <v>2017</v>
      </c>
      <c r="E3" s="121">
        <f t="shared" ref="E3:L3" si="0">D3+1</f>
        <v>2018</v>
      </c>
      <c r="F3" s="121">
        <f t="shared" si="0"/>
        <v>2019</v>
      </c>
      <c r="G3" s="121">
        <f t="shared" si="0"/>
        <v>2020</v>
      </c>
      <c r="H3" s="121">
        <f t="shared" si="0"/>
        <v>2021</v>
      </c>
      <c r="I3" s="121">
        <f t="shared" si="0"/>
        <v>2022</v>
      </c>
      <c r="J3" s="121">
        <f t="shared" si="0"/>
        <v>2023</v>
      </c>
      <c r="K3" s="121">
        <f t="shared" si="0"/>
        <v>2024</v>
      </c>
      <c r="L3" s="121">
        <f t="shared" si="0"/>
        <v>2025</v>
      </c>
    </row>
    <row r="5" spans="2:12" x14ac:dyDescent="0.25">
      <c r="B5" s="51" t="s">
        <v>11</v>
      </c>
      <c r="C5" s="9"/>
      <c r="D5" s="95"/>
      <c r="E5" s="95"/>
      <c r="F5" s="95"/>
      <c r="G5" s="95"/>
      <c r="H5" s="95"/>
      <c r="I5" s="95"/>
      <c r="J5" s="95"/>
      <c r="K5" s="95"/>
      <c r="L5" s="95"/>
    </row>
    <row r="6" spans="2:12" x14ac:dyDescent="0.25">
      <c r="B6" t="s">
        <v>30</v>
      </c>
      <c r="C6" s="71" t="str">
        <f>IFERROR(('Historical Financials'!C7-'Historical Financials'!B7)/'Historical Financials'!B7,"-")</f>
        <v>-</v>
      </c>
      <c r="D6" s="88">
        <f>('Historical Financials'!D7-'Historical Financials'!C7)/'Historical Financials'!C7</f>
        <v>0.18225702825192311</v>
      </c>
      <c r="E6" s="88">
        <f>('Historical Financials'!E7-'Historical Financials'!D7)/'Historical Financials'!D7</f>
        <v>0.17220239406624063</v>
      </c>
      <c r="F6" s="88">
        <f>('Historical Financials'!F7-'Historical Financials'!E7)/'Historical Financials'!E7</f>
        <v>7.8425598989592782E-2</v>
      </c>
      <c r="G6" s="88">
        <f>('Historical Financials'!G7-'Historical Financials'!F7)/'Historical Financials'!F7</f>
        <v>-0.12093274542951254</v>
      </c>
      <c r="H6" s="88">
        <f>('Historical Financials'!H7-'Historical Financials'!G7)/'Historical Financials'!G7</f>
        <v>-6.9891620407084326E-2</v>
      </c>
      <c r="I6" s="88">
        <f>('Historical Financials'!I7-'Historical Financials'!H7)/'Historical Financials'!H7</f>
        <v>0.25518387995225378</v>
      </c>
      <c r="J6" s="88">
        <f>('Historical Financials'!J7-'Historical Financials'!I7)/'Historical Financials'!I7</f>
        <v>0.34054305568449145</v>
      </c>
      <c r="K6" s="88">
        <f>('Historical Financials'!K7-'Historical Financials'!J7)/'Historical Financials'!J7</f>
        <v>0.19802651636391905</v>
      </c>
      <c r="L6" s="88">
        <f>('Historical Financials'!L7-'Historical Financials'!K7)/'Historical Financials'!K7</f>
        <v>7.7928522989858792E-2</v>
      </c>
    </row>
    <row r="7" spans="2:12" x14ac:dyDescent="0.25">
      <c r="B7" t="s">
        <v>2</v>
      </c>
      <c r="C7" s="72" t="str">
        <f>IFERROR(('Historical Financials'!C8-'Historical Financials'!B8)/'Historical Financials'!B8,"-")</f>
        <v>-</v>
      </c>
      <c r="D7" s="88">
        <f>('Historical Financials'!D8-'Historical Financials'!C8)/'Historical Financials'!C8</f>
        <v>0.19546143510837174</v>
      </c>
      <c r="E7" s="88">
        <f>('Historical Financials'!E8-'Historical Financials'!D8)/'Historical Financials'!D8</f>
        <v>0.17960563154947617</v>
      </c>
      <c r="F7" s="88">
        <f>('Historical Financials'!F8-'Historical Financials'!E8)/'Historical Financials'!E8</f>
        <v>8.8110536577095694E-2</v>
      </c>
      <c r="G7" s="88">
        <f>('Historical Financials'!G8-'Historical Financials'!F8)/'Historical Financials'!F8</f>
        <v>-0.10166525921517179</v>
      </c>
      <c r="H7" s="88">
        <f>('Historical Financials'!H8-'Historical Financials'!G8)/'Historical Financials'!G8</f>
        <v>-3.8876391632600323E-2</v>
      </c>
      <c r="I7" s="88">
        <f>('Historical Financials'!I8-'Historical Financials'!H8)/'Historical Financials'!H8</f>
        <v>0.29167238106237214</v>
      </c>
      <c r="J7" s="88">
        <f>('Historical Financials'!J8-'Historical Financials'!I8)/'Historical Financials'!I8</f>
        <v>0.29550369662525783</v>
      </c>
      <c r="K7" s="88">
        <f>('Historical Financials'!K8-'Historical Financials'!J8)/'Historical Financials'!J8</f>
        <v>0.16482800715190032</v>
      </c>
      <c r="L7" s="88">
        <f>('Historical Financials'!L8-'Historical Financials'!K8)/'Historical Financials'!K8</f>
        <v>6.019152859967862E-2</v>
      </c>
    </row>
    <row r="8" spans="2:12" x14ac:dyDescent="0.25">
      <c r="B8" s="52" t="s">
        <v>6</v>
      </c>
      <c r="C8" s="71" t="str">
        <f>IFERROR(('Historical Financials'!C9-'Historical Financials'!B9)/'Historical Financials'!B9,"-")</f>
        <v>-</v>
      </c>
      <c r="D8" s="98">
        <f>('Historical Financials'!D9-'Historical Financials'!C9)/'Historical Financials'!C9</f>
        <v>0.14721333942439502</v>
      </c>
      <c r="E8" s="98">
        <f>('Historical Financials'!E9-'Historical Financials'!D9)/'Historical Financials'!D9</f>
        <v>0.15172833360986598</v>
      </c>
      <c r="F8" s="98">
        <f>('Historical Financials'!F9-'Historical Financials'!E9)/'Historical Financials'!E9</f>
        <v>5.0993065826627257E-2</v>
      </c>
      <c r="G8" s="98">
        <f>('Historical Financials'!G9-'Historical Financials'!F9)/'Historical Financials'!F9</f>
        <v>-0.17743519918853351</v>
      </c>
      <c r="H8" s="98">
        <f>('Historical Financials'!H9-'Historical Financials'!G9)/'Historical Financials'!G9</f>
        <v>-0.16922273633692347</v>
      </c>
      <c r="I8" s="98">
        <f>('Historical Financials'!I9-'Historical Financials'!H9)/'Historical Financials'!H9</f>
        <v>0.11998876735043279</v>
      </c>
      <c r="J8" s="98">
        <f>('Historical Financials'!J9-'Historical Financials'!I9)/'Historical Financials'!I9</f>
        <v>0.53300101486478302</v>
      </c>
      <c r="K8" s="98">
        <f>('Historical Financials'!K9-'Historical Financials'!J9)/'Historical Financials'!J9</f>
        <v>0.3179097561070594</v>
      </c>
      <c r="L8" s="98">
        <f>('Historical Financials'!L9-'Historical Financials'!K9)/'Historical Financials'!K9</f>
        <v>0.13453890021570133</v>
      </c>
    </row>
    <row r="9" spans="2:12" x14ac:dyDescent="0.25">
      <c r="B9" t="s">
        <v>12</v>
      </c>
      <c r="C9" s="72" t="str">
        <f>IFERROR(('Historical Financials'!C10-'Historical Financials'!B10)/'Historical Financials'!B10,"-")</f>
        <v>-</v>
      </c>
      <c r="D9" s="88">
        <f>('Historical Financials'!D10-'Historical Financials'!C10)/'Historical Financials'!C9</f>
        <v>5.856301710573069E-2</v>
      </c>
      <c r="E9" s="88">
        <f>('Historical Financials'!E10-'Historical Financials'!D10)/'Historical Financials'!D9</f>
        <v>5.7895027929871098E-2</v>
      </c>
      <c r="F9" s="88">
        <f>('Historical Financials'!F10-'Historical Financials'!E10)/'Historical Financials'!E9</f>
        <v>0.10197172547588412</v>
      </c>
      <c r="G9" s="88">
        <f>('Historical Financials'!G10-'Historical Financials'!F10)/'Historical Financials'!F9</f>
        <v>-8.3202734130483607E-3</v>
      </c>
      <c r="H9" s="88">
        <f>('Historical Financials'!H10-'Historical Financials'!G10)/'Historical Financials'!G9</f>
        <v>-6.1217914891489721E-2</v>
      </c>
      <c r="I9" s="88">
        <f>('Historical Financials'!I10-'Historical Financials'!H10)/'Historical Financials'!H9</f>
        <v>9.7162418763873701E-2</v>
      </c>
      <c r="J9" s="88">
        <f>('Historical Financials'!J10-'Historical Financials'!I10)/'Historical Financials'!I9</f>
        <v>9.3057130917557032E-2</v>
      </c>
      <c r="K9" s="88">
        <f>('Historical Financials'!K10-'Historical Financials'!J10)/'Historical Financials'!J9</f>
        <v>0.10354254204748577</v>
      </c>
      <c r="L9" s="88">
        <f>('Historical Financials'!L10-'Historical Financials'!K10)/'Historical Financials'!K9</f>
        <v>8.9330142126879994E-2</v>
      </c>
    </row>
    <row r="10" spans="2:12" x14ac:dyDescent="0.25">
      <c r="B10" s="52" t="s">
        <v>3</v>
      </c>
      <c r="C10" s="71" t="str">
        <f>IFERROR(('Historical Financials'!C11-'Historical Financials'!B11)/'Historical Financials'!B11,"-")</f>
        <v>-</v>
      </c>
      <c r="D10" s="98">
        <f>('Historical Financials'!D11-'Historical Financials'!C11)/'Historical Financials'!C11</f>
        <v>0.15482984452743268</v>
      </c>
      <c r="E10" s="98">
        <f>('Historical Financials'!E11-'Historical Financials'!D11)/'Historical Financials'!D11</f>
        <v>0.16280118603245158</v>
      </c>
      <c r="F10" s="98">
        <f>('Historical Financials'!F11-'Historical Financials'!E11)/'Historical Financials'!E11</f>
        <v>-8.7605938322645432E-2</v>
      </c>
      <c r="G10" s="98">
        <f>('Historical Financials'!G11-'Historical Financials'!F11)/'Historical Financials'!F11</f>
        <v>-0.33476841257925349</v>
      </c>
      <c r="H10" s="98">
        <f>('Historical Financials'!H11-'Historical Financials'!G11)/'Historical Financials'!G11</f>
        <v>-0.26436437797416712</v>
      </c>
      <c r="I10" s="98">
        <f>('Historical Financials'!I11-'Historical Financials'!H11)/'Historical Financials'!H11</f>
        <v>6.3098362473665071E-2</v>
      </c>
      <c r="J10" s="98">
        <f>('Historical Financials'!J11-'Historical Financials'!I11)/'Historical Financials'!I11</f>
        <v>1.2812065368567402</v>
      </c>
      <c r="K10" s="98">
        <f>('Historical Financials'!K11-'Historical Financials'!J11)/'Historical Financials'!J11</f>
        <v>0.41952520672179316</v>
      </c>
      <c r="L10" s="98">
        <f>('Historical Financials'!L11-'Historical Financials'!K11)/'Historical Financials'!K11</f>
        <v>8.214191761111872E-2</v>
      </c>
    </row>
    <row r="11" spans="2:12" x14ac:dyDescent="0.25">
      <c r="B11" t="s">
        <v>4</v>
      </c>
      <c r="C11" s="72" t="str">
        <f>IFERROR(('Historical Financials'!C12-'Historical Financials'!B12)/'Historical Financials'!B12,"-")</f>
        <v>-</v>
      </c>
      <c r="D11" s="88">
        <f>('Historical Financials'!D12-'Historical Financials'!C12)/'Historical Financials'!C12</f>
        <v>-7.7220214047770949E-2</v>
      </c>
      <c r="E11" s="88">
        <f>('Historical Financials'!E12-'Historical Financials'!D12)/'Historical Financials'!D12</f>
        <v>5.9871730865240634E-2</v>
      </c>
      <c r="F11" s="88">
        <f>('Historical Financials'!F12-'Historical Financials'!E12)/'Historical Financials'!E12</f>
        <v>9.4572070439886941E-2</v>
      </c>
      <c r="G11" s="88">
        <f>('Historical Financials'!G12-'Historical Financials'!F12)/'Historical Financials'!F12</f>
        <v>0.16803495762711859</v>
      </c>
      <c r="H11" s="88">
        <f>('Historical Financials'!H12-'Historical Financials'!G12)/'Historical Financials'!G12</f>
        <v>-0.14009182632354614</v>
      </c>
      <c r="I11" s="88">
        <f>('Historical Financials'!I12-'Historical Financials'!H12)/'Historical Financials'!H12</f>
        <v>-8.0781780429122277E-2</v>
      </c>
      <c r="J11" s="88">
        <f>('Historical Financials'!J12-'Historical Financials'!I12)/'Historical Financials'!I12</f>
        <v>0.73754033703836497</v>
      </c>
      <c r="K11" s="88">
        <f>('Historical Financials'!K12-'Historical Financials'!J12)/'Historical Financials'!J12</f>
        <v>8.456458935204296E-2</v>
      </c>
      <c r="L11" s="88">
        <f>('Historical Financials'!L12-'Historical Financials'!K12)/'Historical Financials'!K12</f>
        <v>6.7049735530271243E-2</v>
      </c>
    </row>
    <row r="12" spans="2:12" x14ac:dyDescent="0.25">
      <c r="B12" s="52" t="s">
        <v>16</v>
      </c>
      <c r="C12" s="71" t="str">
        <f>IFERROR(('Historical Financials'!C13-'Historical Financials'!B13)/'Historical Financials'!B13,"-")</f>
        <v>-</v>
      </c>
      <c r="D12" s="98">
        <f>('Historical Financials'!D13-'Historical Financials'!C13)/'Historical Financials'!C13</f>
        <v>0.26040339873917839</v>
      </c>
      <c r="E12" s="98">
        <f>('Historical Financials'!E13-'Historical Financials'!D13)/'Historical Financials'!D13</f>
        <v>0.19708598766853277</v>
      </c>
      <c r="F12" s="98">
        <f>('Historical Financials'!F13-'Historical Financials'!E13)/'Historical Financials'!E13</f>
        <v>-0.14133210801337737</v>
      </c>
      <c r="G12" s="98">
        <f>('Historical Financials'!G13-'Historical Financials'!F13)/'Historical Financials'!F13</f>
        <v>-0.52378818990728637</v>
      </c>
      <c r="H12" s="98">
        <f>('Historical Financials'!H13-'Historical Financials'!G13)/'Historical Financials'!G13</f>
        <v>-0.37895259499294381</v>
      </c>
      <c r="I12" s="98">
        <f>('Historical Financials'!I13-'Historical Financials'!H13)/'Historical Financials'!H13</f>
        <v>0.24679150010520165</v>
      </c>
      <c r="J12" s="98">
        <f>('Historical Financials'!J13-'Historical Financials'!I13)/'Historical Financials'!I13</f>
        <v>1.7929463381707604</v>
      </c>
      <c r="K12" s="98">
        <f>('Historical Financials'!K13-'Historical Financials'!J13)/'Historical Financials'!J13</f>
        <v>0.61567276901697887</v>
      </c>
      <c r="L12" s="98">
        <f>('Historical Financials'!L13-'Historical Financials'!K13)/'Historical Financials'!K13</f>
        <v>8.8074492352565648E-2</v>
      </c>
    </row>
    <row r="13" spans="2:12" x14ac:dyDescent="0.25">
      <c r="B13" t="s">
        <v>5</v>
      </c>
      <c r="C13" s="71" t="str">
        <f>IFERROR(('Historical Financials'!C14-'Historical Financials'!B14)/'Historical Financials'!B14,"-")</f>
        <v>-</v>
      </c>
      <c r="D13" s="88">
        <f>('Historical Financials'!D14-'Historical Financials'!C14)/'Historical Financials'!C14</f>
        <v>9.4247246022031855E-2</v>
      </c>
      <c r="E13" s="88">
        <f>('Historical Financials'!E14-'Historical Financials'!D14)/'Historical Financials'!D14</f>
        <v>2.8680089485458611</v>
      </c>
      <c r="F13" s="88">
        <f>('Historical Financials'!F14-'Historical Financials'!E14)/'Historical Financials'!E14</f>
        <v>-0.78050896471949094</v>
      </c>
      <c r="G13" s="88">
        <f>('Historical Financials'!G14-'Historical Financials'!F14)/'Historical Financials'!F14</f>
        <v>0.76811594202898525</v>
      </c>
      <c r="H13" s="88">
        <f>('Historical Financials'!H14-'Historical Financials'!G14)/'Historical Financials'!G14</f>
        <v>-0.24143070044709386</v>
      </c>
      <c r="I13" s="88">
        <f>('Historical Financials'!I14-'Historical Financials'!H14)/'Historical Financials'!H14</f>
        <v>0.24361493123772099</v>
      </c>
      <c r="J13" s="88">
        <f>('Historical Financials'!J14-'Historical Financials'!I14)/'Historical Financials'!I14</f>
        <v>0.99289099526066371</v>
      </c>
      <c r="K13" s="88">
        <f>('Historical Financials'!K14-'Historical Financials'!J14)/'Historical Financials'!J14</f>
        <v>-0.23265953230281416</v>
      </c>
      <c r="L13" s="88">
        <f>('Historical Financials'!L14-'Historical Financials'!K14)/'Historical Financials'!K14</f>
        <v>3.0991735537189789E-3</v>
      </c>
    </row>
    <row r="14" spans="2:12" x14ac:dyDescent="0.25">
      <c r="B14" s="56" t="s">
        <v>7</v>
      </c>
      <c r="C14" s="72" t="str">
        <f>IFERROR(('Historical Financials'!C15-'Historical Financials'!B15)/'Historical Financials'!B15,"-")</f>
        <v>-</v>
      </c>
      <c r="D14" s="88">
        <f>('Historical Financials'!D15-'Historical Financials'!C15)/'Historical Financials'!C15</f>
        <v>0.6386858821118776</v>
      </c>
      <c r="E14" s="88">
        <f>('Historical Financials'!E15-'Historical Financials'!D15)/'Historical Financials'!D15</f>
        <v>-0.10195065021673888</v>
      </c>
      <c r="F14" s="88">
        <f>('Historical Financials'!F15-'Historical Financials'!E15)/'Historical Financials'!E15</f>
        <v>0.23651721897335928</v>
      </c>
      <c r="G14" s="88">
        <f>('Historical Financials'!G15-'Historical Financials'!F15)/'Historical Financials'!F15</f>
        <v>0.28008407777193917</v>
      </c>
      <c r="H14" s="88">
        <f>('Historical Financials'!H15-'Historical Financials'!G15)/'Historical Financials'!G15</f>
        <v>-0.10676167018531547</v>
      </c>
      <c r="I14" s="88">
        <f>('Historical Financials'!I15-'Historical Financials'!H15)/'Historical Financials'!H15</f>
        <v>-0.38916062108131183</v>
      </c>
      <c r="J14" s="88">
        <f>('Historical Financials'!J15-'Historical Financials'!I15)/'Historical Financials'!I15</f>
        <v>0.29782889079965608</v>
      </c>
      <c r="K14" s="88">
        <f>('Historical Financials'!K15-'Historical Financials'!J15)/'Historical Financials'!J15</f>
        <v>0.75884057971014507</v>
      </c>
      <c r="L14" s="88">
        <f>('Historical Financials'!L15-'Historical Financials'!K15)/'Historical Financials'!K15</f>
        <v>0.23978246539222148</v>
      </c>
    </row>
    <row r="15" spans="2:12" x14ac:dyDescent="0.25">
      <c r="B15" s="52" t="s">
        <v>8</v>
      </c>
      <c r="C15" s="71" t="str">
        <f>IFERROR(('Historical Financials'!C16-'Historical Financials'!B16)/'Historical Financials'!B16,"-")</f>
        <v>-</v>
      </c>
      <c r="D15" s="98">
        <f>('Historical Financials'!D16-'Historical Financials'!C16)/'Historical Financials'!C16</f>
        <v>0.14437882529797177</v>
      </c>
      <c r="E15" s="98">
        <f>('Historical Financials'!E16-'Historical Financials'!D16)/'Historical Financials'!D16</f>
        <v>0.28691262573187004</v>
      </c>
      <c r="F15" s="98">
        <f>('Historical Financials'!F16-'Historical Financials'!E16)/'Historical Financials'!E16</f>
        <v>-0.22781690654300821</v>
      </c>
      <c r="G15" s="98">
        <f>('Historical Financials'!G16-'Historical Financials'!F16)/'Historical Financials'!F16</f>
        <v>-0.94674623257921942</v>
      </c>
      <c r="H15" s="98">
        <f>('Historical Financials'!H16-'Historical Financials'!G16)/'Historical Financials'!G16</f>
        <v>-3.7361702127659329</v>
      </c>
      <c r="I15" s="98">
        <f>('Historical Financials'!I16-'Historical Financials'!H16)/'Historical Financials'!H16</f>
        <v>-2.2643856920684513</v>
      </c>
      <c r="J15" s="98">
        <f>('Historical Financials'!J16-'Historical Financials'!I16)/'Historical Financials'!I16</f>
        <v>4.7484624846247634</v>
      </c>
      <c r="K15" s="98">
        <f>('Historical Financials'!K16-'Historical Financials'!J16)/'Historical Financials'!J16</f>
        <v>0.59218644128240938</v>
      </c>
      <c r="L15" s="98">
        <f>('Historical Financials'!L16-'Historical Financials'!K16)/'Historical Financials'!K16</f>
        <v>1.7750551554991049E-2</v>
      </c>
    </row>
    <row r="16" spans="2:12" x14ac:dyDescent="0.25">
      <c r="B16" t="s">
        <v>39</v>
      </c>
      <c r="C16" s="71" t="str">
        <f>IFERROR(('Historical Financials'!C17-'Historical Financials'!B17)/'Historical Financials'!B17,"-")</f>
        <v>-</v>
      </c>
      <c r="D16" s="88">
        <f>('Historical Financials'!D17-'Historical Financials'!C17)/'Historical Financials'!C17</f>
        <v>0.2532694610778442</v>
      </c>
      <c r="E16" s="88">
        <f>('Historical Financials'!E17-'Historical Financials'!D17)/'Historical Financials'!D17</f>
        <v>0.25609662869811178</v>
      </c>
      <c r="F16" s="88">
        <f>('Historical Financials'!F17-'Historical Financials'!E17)/'Historical Financials'!E17</f>
        <v>-9.5246789605014912E-2</v>
      </c>
      <c r="G16" s="88">
        <f>('Historical Financials'!G17-'Historical Financials'!F17)/'Historical Financials'!F17</f>
        <v>-0.52065115027579711</v>
      </c>
      <c r="H16" s="88">
        <f>('Historical Financials'!H17-'Historical Financials'!G17)/'Historical Financials'!G17</f>
        <v>-0.34612685938815607</v>
      </c>
      <c r="I16" s="88">
        <f>('Historical Financials'!I17-'Historical Financials'!H17)/'Historical Financials'!H17</f>
        <v>-0.12254533748256244</v>
      </c>
      <c r="J16" s="88">
        <f>('Historical Financials'!J17-'Historical Financials'!I17)/'Historical Financials'!I17</f>
        <v>1.6592882475235415</v>
      </c>
      <c r="K16" s="88">
        <f>('Historical Financials'!K17-'Historical Financials'!J17)/'Historical Financials'!J17</f>
        <v>0.81020924350425394</v>
      </c>
      <c r="L16" s="88">
        <f>('Historical Financials'!L17-'Historical Financials'!K17)/'Historical Financials'!K17</f>
        <v>0.30066305921804737</v>
      </c>
    </row>
    <row r="17" spans="2:12" x14ac:dyDescent="0.25">
      <c r="B17" s="32" t="s">
        <v>119</v>
      </c>
      <c r="C17" s="73" t="str">
        <f>IFERROR(('Historical Financials'!C18-'Historical Financials'!B18)/'Historical Financials'!B18,"-")</f>
        <v>-</v>
      </c>
      <c r="D17" s="97">
        <f>('Historical Financials'!D18-'Historical Financials'!C18)/'Historical Financials'!C18</f>
        <v>5.5897236278709697E-2</v>
      </c>
      <c r="E17" s="97">
        <f>('Historical Financials'!E18-'Historical Financials'!D18)/'Historical Financials'!D18</f>
        <v>0.3166334881663308</v>
      </c>
      <c r="F17" s="97">
        <f>('Historical Financials'!F18-'Historical Financials'!E18)/'Historical Financials'!E18</f>
        <v>-0.34979700405991571</v>
      </c>
      <c r="G17" s="97">
        <f>('Historical Financials'!G18-'Historical Financials'!F18)/'Historical Financials'!F18</f>
        <v>-1.4922917922659531</v>
      </c>
      <c r="H17" s="97">
        <f>('Historical Financials'!H18-'Historical Financials'!G18)/'Historical Financials'!G18</f>
        <v>0.49011546536039258</v>
      </c>
      <c r="I17" s="97">
        <f>('Historical Financials'!I18-'Historical Financials'!H18)/'Historical Financials'!H18</f>
        <v>-1.0926915174640532</v>
      </c>
      <c r="J17" s="97">
        <f>('Historical Financials'!J18-'Historical Financials'!I18)/'Historical Financials'!I18</f>
        <v>20.746041798604718</v>
      </c>
      <c r="K17" s="97">
        <f>('Historical Financials'!K18-'Historical Financials'!J18)/'Historical Financials'!J18</f>
        <v>0.45411655065964079</v>
      </c>
      <c r="L17" s="97">
        <f>('Historical Financials'!L18-'Historical Financials'!K18)/'Historical Financials'!K18</f>
        <v>-0.20528740236331172</v>
      </c>
    </row>
    <row r="19" spans="2:12" x14ac:dyDescent="0.25">
      <c r="B19" s="51" t="s">
        <v>72</v>
      </c>
      <c r="C19" s="9"/>
      <c r="D19" s="95"/>
      <c r="E19" s="95"/>
      <c r="F19" s="95"/>
      <c r="G19" s="95"/>
      <c r="H19" s="95"/>
      <c r="I19" s="95"/>
      <c r="J19" s="95"/>
      <c r="K19" s="95"/>
      <c r="L19" s="95"/>
    </row>
    <row r="20" spans="2:12" x14ac:dyDescent="0.25">
      <c r="B20" t="s">
        <v>45</v>
      </c>
      <c r="D20" s="88">
        <f>('Historical Financials'!D30-'Historical Financials'!C30)/'Historical Financials'!C30</f>
        <v>0</v>
      </c>
      <c r="E20" s="88">
        <f>('Historical Financials'!E30-'Historical Financials'!D30)/'Historical Financials'!D30</f>
        <v>0</v>
      </c>
      <c r="F20" s="88">
        <f>('Historical Financials'!F30-'Historical Financials'!E30)/'Historical Financials'!E30</f>
        <v>0</v>
      </c>
      <c r="G20" s="88">
        <f>('Historical Financials'!G30-'Historical Financials'!F30)/'Historical Financials'!F30</f>
        <v>0</v>
      </c>
      <c r="H20" s="88">
        <f>('Historical Financials'!H30-'Historical Financials'!G30)/'Historical Financials'!G30</f>
        <v>0</v>
      </c>
      <c r="I20" s="88">
        <f>('Historical Financials'!I30-'Historical Financials'!H30)/'Historical Financials'!H30</f>
        <v>0</v>
      </c>
      <c r="J20" s="88">
        <f>('Historical Financials'!J30-'Historical Financials'!I30)/'Historical Financials'!I30</f>
        <v>4.105960264900655E-2</v>
      </c>
      <c r="K20" s="88">
        <f>('Historical Financials'!K30-'Historical Financials'!J30)/'Historical Financials'!J30</f>
        <v>0</v>
      </c>
      <c r="L20" s="88">
        <f>('Historical Financials'!L30-'Historical Financials'!K30)/'Historical Financials'!K30</f>
        <v>0</v>
      </c>
    </row>
    <row r="21" spans="2:12" x14ac:dyDescent="0.25">
      <c r="B21" t="s">
        <v>73</v>
      </c>
      <c r="D21" s="88">
        <f>('Historical Financials'!D31-'Historical Financials'!C31)/'Historical Financials'!C31</f>
        <v>0.21201706876743801</v>
      </c>
      <c r="E21" s="88">
        <f>('Historical Financials'!E31-'Historical Financials'!D31)/'Historical Financials'!D31</f>
        <v>0.14852900950869494</v>
      </c>
      <c r="F21" s="88">
        <f>('Historical Financials'!F31-'Historical Financials'!E31)/'Historical Financials'!E31</f>
        <v>0.10688212712575804</v>
      </c>
      <c r="G21" s="88">
        <f>('Historical Financials'!G31-'Historical Financials'!F31)/'Historical Financials'!F31</f>
        <v>4.9442812375508918E-2</v>
      </c>
      <c r="H21" s="88">
        <f>('Historical Financials'!H31-'Historical Financials'!G31)/'Historical Financials'!G31</f>
        <v>6.2677114205675746E-2</v>
      </c>
      <c r="I21" s="88">
        <f>('Historical Financials'!I31-'Historical Financials'!H31)/'Historical Financials'!H31</f>
        <v>5.4115026666870451E-2</v>
      </c>
      <c r="J21" s="88">
        <f>('Historical Financials'!J31-'Historical Financials'!I31)/'Historical Financials'!I31</f>
        <v>0.34903275494948582</v>
      </c>
      <c r="K21" s="88">
        <f>('Historical Financials'!K31-'Historical Financials'!J31)/'Historical Financials'!J31</f>
        <v>0.14824496594710052</v>
      </c>
      <c r="L21" s="88">
        <f>('Historical Financials'!L31-'Historical Financials'!K31)/'Historical Financials'!K31</f>
        <v>0.12405298155800028</v>
      </c>
    </row>
    <row r="22" spans="2:12" x14ac:dyDescent="0.25">
      <c r="B22" t="s">
        <v>47</v>
      </c>
      <c r="D22" s="88">
        <f>('Historical Financials'!D32-'Historical Financials'!C32)/'Historical Financials'!C32</f>
        <v>1.0944131658726721</v>
      </c>
      <c r="E22" s="88">
        <f>('Historical Financials'!E32-'Historical Financials'!D32)/'Historical Financials'!D32</f>
        <v>-0.75020678246484696</v>
      </c>
      <c r="F22" s="88">
        <f>('Historical Financials'!F32-'Historical Financials'!E32)/'Historical Financials'!E32</f>
        <v>0.32119205298013243</v>
      </c>
      <c r="G22" s="88">
        <f>('Historical Financials'!G32-'Historical Financials'!F32)/'Historical Financials'!F32</f>
        <v>0.15350877192982457</v>
      </c>
      <c r="H22" s="88">
        <f>('Historical Financials'!H32-'Historical Financials'!G32)/'Historical Financials'!G32</f>
        <v>1.9380771319934815</v>
      </c>
      <c r="I22" s="88">
        <f>('Historical Financials'!I32-'Historical Financials'!H32)/'Historical Financials'!H32</f>
        <v>-0.21334812349787388</v>
      </c>
      <c r="J22" s="88">
        <f>('Historical Financials'!J32-'Historical Financials'!I32)/'Historical Financials'!I32</f>
        <v>1.9320799059929492</v>
      </c>
      <c r="K22" s="88">
        <f>('Historical Financials'!K32-'Historical Financials'!J32)/'Historical Financials'!J32</f>
        <v>-0.90493747996152618</v>
      </c>
      <c r="L22" s="88">
        <f>('Historical Financials'!L32-'Historical Financials'!K32)/'Historical Financials'!K32</f>
        <v>-0.26644182124789206</v>
      </c>
    </row>
    <row r="23" spans="2:12" x14ac:dyDescent="0.25">
      <c r="B23" t="s">
        <v>48</v>
      </c>
      <c r="D23" s="88">
        <f>('Historical Financials'!D33-'Historical Financials'!C33)/'Historical Financials'!C33</f>
        <v>0.21241560453252056</v>
      </c>
      <c r="E23" s="88">
        <f>('Historical Financials'!E33-'Historical Financials'!D33)/'Historical Financials'!D33</f>
        <v>0.21986140621311237</v>
      </c>
      <c r="F23" s="88">
        <f>('Historical Financials'!F33-'Historical Financials'!E33)/'Historical Financials'!E33</f>
        <v>-4.8451178834485076E-2</v>
      </c>
      <c r="G23" s="88">
        <f>('Historical Financials'!G33-'Historical Financials'!F33)/'Historical Financials'!F33</f>
        <v>-0.16069868995633185</v>
      </c>
      <c r="H23" s="88">
        <f>('Historical Financials'!H33-'Historical Financials'!G33)/'Historical Financials'!G33</f>
        <v>0.30675808589796572</v>
      </c>
      <c r="I23" s="88">
        <f>('Historical Financials'!I33-'Historical Financials'!H33)/'Historical Financials'!H33</f>
        <v>3.0646973481832245E-2</v>
      </c>
      <c r="J23" s="88">
        <f>('Historical Financials'!J33-'Historical Financials'!I33)/'Historical Financials'!I33</f>
        <v>0.28374037520175699</v>
      </c>
      <c r="K23" s="88">
        <f>('Historical Financials'!K33-'Historical Financials'!J33)/'Historical Financials'!J33</f>
        <v>0.21812418068941633</v>
      </c>
      <c r="L23" s="88">
        <f>('Historical Financials'!L33-'Historical Financials'!K33)/'Historical Financials'!K33</f>
        <v>0.20627760198988143</v>
      </c>
    </row>
    <row r="24" spans="2:12" ht="15.75" thickBot="1" x14ac:dyDescent="0.3">
      <c r="B24" s="30" t="s">
        <v>74</v>
      </c>
      <c r="C24" s="60"/>
      <c r="D24" s="99">
        <f>('Historical Financials'!D34-'Historical Financials'!C34)/'Historical Financials'!C34</f>
        <v>0.21614726568442733</v>
      </c>
      <c r="E24" s="99">
        <f>('Historical Financials'!E34-'Historical Financials'!D34)/'Historical Financials'!D34</f>
        <v>0.159503853889012</v>
      </c>
      <c r="F24" s="99">
        <f>('Historical Financials'!F34-'Historical Financials'!E34)/'Historical Financials'!E34</f>
        <v>6.1749357659290335E-2</v>
      </c>
      <c r="G24" s="99">
        <f>('Historical Financials'!G34-'Historical Financials'!F34)/'Historical Financials'!F34</f>
        <v>-5.3307320611486559E-3</v>
      </c>
      <c r="H24" s="99">
        <f>('Historical Financials'!H34-'Historical Financials'!G34)/'Historical Financials'!G34</f>
        <v>0.12177715051777778</v>
      </c>
      <c r="I24" s="99">
        <f>('Historical Financials'!I34-'Historical Financials'!H34)/'Historical Financials'!H34</f>
        <v>4.594535145517889E-2</v>
      </c>
      <c r="J24" s="99">
        <f>('Historical Financials'!J34-'Historical Financials'!I34)/'Historical Financials'!I34</f>
        <v>0.34090589440831554</v>
      </c>
      <c r="K24" s="99">
        <f>('Historical Financials'!K34-'Historical Financials'!J34)/'Historical Financials'!J34</f>
        <v>0.15182007072503154</v>
      </c>
      <c r="L24" s="99">
        <f>('Historical Financials'!L34-'Historical Financials'!K34)/'Historical Financials'!K34</f>
        <v>0.14455426996958462</v>
      </c>
    </row>
    <row r="25" spans="2:12" ht="15.75" thickTop="1" x14ac:dyDescent="0.25"/>
    <row r="26" spans="2:12" x14ac:dyDescent="0.25">
      <c r="B26" t="s">
        <v>75</v>
      </c>
      <c r="D26" s="88">
        <f>('Historical Financials'!D36-'Historical Financials'!C36)/'Historical Financials'!C36</f>
        <v>6.2340377984931708E-2</v>
      </c>
      <c r="E26" s="88">
        <f>('Historical Financials'!E36-'Historical Financials'!D36)/'Historical Financials'!D36</f>
        <v>5.8674600133725909E-3</v>
      </c>
      <c r="F26" s="88">
        <f>('Historical Financials'!F36-'Historical Financials'!E36)/'Historical Financials'!E36</f>
        <v>0.15300101577437861</v>
      </c>
      <c r="G26" s="88">
        <f>('Historical Financials'!G36-'Historical Financials'!F36)/'Historical Financials'!F36</f>
        <v>1.9893375136843902E-2</v>
      </c>
      <c r="H26" s="88">
        <f>('Historical Financials'!H36-'Historical Financials'!G36)/'Historical Financials'!G36</f>
        <v>-4.7998018343029837E-2</v>
      </c>
      <c r="I26" s="88">
        <f>('Historical Financials'!I36-'Historical Financials'!H36)/'Historical Financials'!H36</f>
        <v>-8.282906456197002E-2</v>
      </c>
      <c r="J26" s="88">
        <f>('Historical Financials'!J36-'Historical Financials'!I36)/'Historical Financials'!I36</f>
        <v>1.0325157122905029</v>
      </c>
      <c r="K26" s="88">
        <f>('Historical Financials'!K36-'Historical Financials'!J36)/'Historical Financials'!J36</f>
        <v>-2.7414517525965834E-3</v>
      </c>
      <c r="L26" s="88">
        <f>('Historical Financials'!L36-'Historical Financials'!K36)/'Historical Financials'!K36</f>
        <v>0.19808862794636964</v>
      </c>
    </row>
    <row r="27" spans="2:12" x14ac:dyDescent="0.25">
      <c r="B27" t="s">
        <v>51</v>
      </c>
      <c r="D27" s="88">
        <f>('Historical Financials'!D37-'Historical Financials'!C37)/'Historical Financials'!C37</f>
        <v>0.24371834343033069</v>
      </c>
      <c r="E27" s="88">
        <f>('Historical Financials'!E37-'Historical Financials'!D37)/'Historical Financials'!D37</f>
        <v>0.70254731294418271</v>
      </c>
      <c r="F27" s="88">
        <f>('Historical Financials'!F37-'Historical Financials'!E37)/'Historical Financials'!E37</f>
        <v>-0.24632990947891742</v>
      </c>
      <c r="G27" s="88">
        <f>('Historical Financials'!G37-'Historical Financials'!F37)/'Historical Financials'!F37</f>
        <v>-0.11929802725745225</v>
      </c>
      <c r="H27" s="88">
        <f>('Historical Financials'!H37-'Historical Financials'!G37)/'Historical Financials'!G37</f>
        <v>5.7659694742792471E-2</v>
      </c>
      <c r="I27" s="88">
        <f>('Historical Financials'!I37-'Historical Financials'!H37)/'Historical Financials'!H37</f>
        <v>0.961851950828434</v>
      </c>
      <c r="J27" s="88">
        <f>('Historical Financials'!J37-'Historical Financials'!I37)/'Historical Financials'!I37</f>
        <v>0.41086327260343947</v>
      </c>
      <c r="K27" s="88">
        <f>('Historical Financials'!K37-'Historical Financials'!J37)/'Historical Financials'!J37</f>
        <v>0.8669563118513155</v>
      </c>
      <c r="L27" s="88">
        <f>('Historical Financials'!L37-'Historical Financials'!K37)/'Historical Financials'!K37</f>
        <v>-2.6839737291203439E-2</v>
      </c>
    </row>
    <row r="28" spans="2:12" x14ac:dyDescent="0.25">
      <c r="B28" t="s">
        <v>52</v>
      </c>
      <c r="D28" s="88">
        <f>('Historical Financials'!D38-'Historical Financials'!C38)/'Historical Financials'!C38</f>
        <v>0.40988982288472514</v>
      </c>
      <c r="E28" s="88">
        <f>('Historical Financials'!E38-'Historical Financials'!D38)/'Historical Financials'!D38</f>
        <v>0.23918890177217622</v>
      </c>
      <c r="F28" s="88">
        <f>('Historical Financials'!F38-'Historical Financials'!E38)/'Historical Financials'!E38</f>
        <v>3.8216542876995607E-2</v>
      </c>
      <c r="G28" s="88">
        <f>('Historical Financials'!G38-'Historical Financials'!F38)/'Historical Financials'!F38</f>
        <v>-4.1596006783344919E-4</v>
      </c>
      <c r="H28" s="88">
        <f>('Historical Financials'!H38-'Historical Financials'!G38)/'Historical Financials'!G38</f>
        <v>0.14556124626547171</v>
      </c>
      <c r="I28" s="88">
        <f>('Historical Financials'!I38-'Historical Financials'!H38)/'Historical Financials'!H38</f>
        <v>-2.1192321305489974E-2</v>
      </c>
      <c r="J28" s="88">
        <f>('Historical Financials'!J38-'Historical Financials'!I38)/'Historical Financials'!I38</f>
        <v>0.17008804630460087</v>
      </c>
      <c r="K28" s="88">
        <f>('Historical Financials'!K38-'Historical Financials'!J38)/'Historical Financials'!J38</f>
        <v>0.16492457959145493</v>
      </c>
      <c r="L28" s="88">
        <f>('Historical Financials'!L38-'Historical Financials'!K38)/'Historical Financials'!K38</f>
        <v>0.15654495950851707</v>
      </c>
    </row>
    <row r="29" spans="2:12" x14ac:dyDescent="0.25">
      <c r="B29" t="s">
        <v>53</v>
      </c>
      <c r="D29" s="88">
        <f>('Historical Financials'!D39-'Historical Financials'!C39)/'Historical Financials'!C39</f>
        <v>-3.1280834468825007E-2</v>
      </c>
      <c r="E29" s="88">
        <f>('Historical Financials'!E39-'Historical Financials'!D39)/'Historical Financials'!D39</f>
        <v>4.3349622282312143E-2</v>
      </c>
      <c r="F29" s="88">
        <f>('Historical Financials'!F39-'Historical Financials'!E39)/'Historical Financials'!E39</f>
        <v>9.4893310399330577E-2</v>
      </c>
      <c r="G29" s="88">
        <f>('Historical Financials'!G39-'Historical Financials'!F39)/'Historical Financials'!F39</f>
        <v>-4.6789584859195966E-2</v>
      </c>
      <c r="H29" s="88">
        <f>('Historical Financials'!H39-'Historical Financials'!G39)/'Historical Financials'!G39</f>
        <v>0.33025244707742663</v>
      </c>
      <c r="I29" s="88">
        <f>('Historical Financials'!I39-'Historical Financials'!H39)/'Historical Financials'!H39</f>
        <v>0.33411743039394609</v>
      </c>
      <c r="J29" s="88">
        <f>('Historical Financials'!J39-'Historical Financials'!I39)/'Historical Financials'!I39</f>
        <v>0.18197790062181946</v>
      </c>
      <c r="K29" s="88">
        <f>('Historical Financials'!K39-'Historical Financials'!J39)/'Historical Financials'!J39</f>
        <v>0.18958130942332505</v>
      </c>
      <c r="L29" s="88">
        <f>('Historical Financials'!L39-'Historical Financials'!K39)/'Historical Financials'!K39</f>
        <v>0.1064863779369436</v>
      </c>
    </row>
    <row r="30" spans="2:12" x14ac:dyDescent="0.25">
      <c r="B30" s="32" t="s">
        <v>78</v>
      </c>
      <c r="C30" s="58"/>
      <c r="D30" s="97">
        <f>('Historical Financials'!D40-'Historical Financials'!C40)/'Historical Financials'!C40</f>
        <v>0.21614726568442733</v>
      </c>
      <c r="E30" s="97">
        <f>('Historical Financials'!E40-'Historical Financials'!D40)/'Historical Financials'!D40</f>
        <v>0.15950385388901187</v>
      </c>
      <c r="F30" s="97">
        <f>('Historical Financials'!F40-'Historical Financials'!E40)/'Historical Financials'!E40</f>
        <v>6.1749357659290585E-2</v>
      </c>
      <c r="G30" s="97">
        <f>('Historical Financials'!G40-'Historical Financials'!F40)/'Historical Financials'!F40</f>
        <v>-5.3307320611487687E-3</v>
      </c>
      <c r="H30" s="97">
        <f>('Historical Financials'!H40-'Historical Financials'!G40)/'Historical Financials'!G40</f>
        <v>0.12177715051777778</v>
      </c>
      <c r="I30" s="97">
        <f>('Historical Financials'!I40-'Historical Financials'!H40)/'Historical Financials'!H40</f>
        <v>4.594535145517889E-2</v>
      </c>
      <c r="J30" s="97">
        <f>('Historical Financials'!J40-'Historical Financials'!I40)/'Historical Financials'!I40</f>
        <v>0.3409058944083157</v>
      </c>
      <c r="K30" s="97">
        <f>('Historical Financials'!K40-'Historical Financials'!J40)/'Historical Financials'!J40</f>
        <v>0.15182007072503137</v>
      </c>
      <c r="L30" s="97">
        <f>('Historical Financials'!L40-'Historical Financials'!K40)/'Historical Financials'!K40</f>
        <v>0.14455426996958462</v>
      </c>
    </row>
    <row r="32" spans="2:12" x14ac:dyDescent="0.25">
      <c r="B32" t="s">
        <v>54</v>
      </c>
      <c r="D32" s="88">
        <f>('Historical Financials'!D42-'Historical Financials'!C42)/'Historical Financials'!C42</f>
        <v>-9.1280036270213222E-2</v>
      </c>
      <c r="E32" s="88">
        <f>('Historical Financials'!E42-'Historical Financials'!D42)/'Historical Financials'!D42</f>
        <v>0.21852652586063545</v>
      </c>
      <c r="F32" s="88">
        <f>('Historical Financials'!F42-'Historical Financials'!E42)/'Historical Financials'!E42</f>
        <v>0.57827214412447114</v>
      </c>
      <c r="G32" s="88">
        <f>('Historical Financials'!G42-'Historical Financials'!F42)/'Historical Financials'!F42</f>
        <v>-0.14488931165686619</v>
      </c>
      <c r="H32" s="88">
        <f>('Historical Financials'!H42-'Historical Financials'!G42)/'Historical Financials'!G42</f>
        <v>-0.35283410021742423</v>
      </c>
      <c r="I32" s="88">
        <f>('Historical Financials'!I42-'Historical Financials'!H42)/'Historical Financials'!H42</f>
        <v>0.58957731072740049</v>
      </c>
      <c r="J32" s="88">
        <f>('Historical Financials'!J42-'Historical Financials'!I42)/'Historical Financials'!I42</f>
        <v>0.61454902924551491</v>
      </c>
      <c r="K32" s="88">
        <f>('Historical Financials'!K42-'Historical Financials'!J42)/'Historical Financials'!J42</f>
        <v>0.39941548952752071</v>
      </c>
      <c r="L32" s="88">
        <f>('Historical Financials'!L42-'Historical Financials'!K42)/'Historical Financials'!K42</f>
        <v>0.42266359206404447</v>
      </c>
    </row>
    <row r="33" spans="2:12" x14ac:dyDescent="0.25">
      <c r="B33" t="s">
        <v>55</v>
      </c>
      <c r="D33" s="88">
        <f>('Historical Financials'!D43-'Historical Financials'!C43)/'Historical Financials'!C43</f>
        <v>4.1850220264317152E-2</v>
      </c>
      <c r="E33" s="88">
        <f>('Historical Financials'!E43-'Historical Financials'!D43)/'Historical Financials'!D43</f>
        <v>-3.1712473572938688E-2</v>
      </c>
      <c r="F33" s="88">
        <f>('Historical Financials'!F43-'Historical Financials'!E43)/'Historical Financials'!E43</f>
        <v>5.1389152585279443E-2</v>
      </c>
      <c r="G33" s="88">
        <f>('Historical Financials'!G43-'Historical Financials'!F43)/'Historical Financials'!F43</f>
        <v>-3.2715343405766512E-2</v>
      </c>
      <c r="H33" s="88">
        <f>('Historical Financials'!H43-'Historical Financials'!G43)/'Historical Financials'!G43</f>
        <v>-5.1308379227729579E-2</v>
      </c>
      <c r="I33" s="88">
        <f>('Historical Financials'!I43-'Historical Financials'!H43)/'Historical Financials'!H43</f>
        <v>0.15851098720892101</v>
      </c>
      <c r="J33" s="88">
        <f>('Historical Financials'!J43-'Historical Financials'!I43)/'Historical Financials'!I43</f>
        <v>0.54106389604506966</v>
      </c>
      <c r="K33" s="88">
        <f>('Historical Financials'!K43-'Historical Financials'!J43)/'Historical Financials'!J43</f>
        <v>-2.3036649214659619E-2</v>
      </c>
      <c r="L33" s="88">
        <f>('Historical Financials'!L43-'Historical Financials'!K43)/'Historical Financials'!K43</f>
        <v>0.2999379477632988</v>
      </c>
    </row>
    <row r="34" spans="2:12" x14ac:dyDescent="0.25">
      <c r="B34" t="s">
        <v>56</v>
      </c>
      <c r="D34" s="88">
        <f>('Historical Financials'!D44-'Historical Financials'!C44)/'Historical Financials'!C44</f>
        <v>-0.53648915187376733</v>
      </c>
      <c r="E34" s="88">
        <f>('Historical Financials'!E44-'Historical Financials'!D44)/'Historical Financials'!D44</f>
        <v>2.1489361702127661</v>
      </c>
      <c r="F34" s="88">
        <f>('Historical Financials'!F44-'Historical Financials'!E44)/'Historical Financials'!E44</f>
        <v>1.5378378378378379</v>
      </c>
      <c r="G34" s="88">
        <f>('Historical Financials'!G44-'Historical Financials'!F44)/'Historical Financials'!F44</f>
        <v>-0.84558040468583595</v>
      </c>
      <c r="H34" s="88">
        <f>('Historical Financials'!H44-'Historical Financials'!G44)/'Historical Financials'!G44</f>
        <v>104.07241379310345</v>
      </c>
      <c r="I34" s="88">
        <f>('Historical Financials'!I44-'Historical Financials'!H44)/'Historical Financials'!H44</f>
        <v>-1.6080863772111487E-3</v>
      </c>
      <c r="J34" s="88">
        <f>('Historical Financials'!J44-'Historical Financials'!I44)/'Historical Financials'!I44</f>
        <v>-9.6541976201433122E-2</v>
      </c>
      <c r="K34" s="88">
        <f>('Historical Financials'!K44-'Historical Financials'!J44)/'Historical Financials'!J44</f>
        <v>2.8706567218482842E-2</v>
      </c>
      <c r="L34" s="88">
        <f>('Historical Financials'!L44-'Historical Financials'!K44)/'Historical Financials'!K44</f>
        <v>-0.80444931739407222</v>
      </c>
    </row>
    <row r="35" spans="2:12" x14ac:dyDescent="0.25">
      <c r="B35" s="32" t="s">
        <v>77</v>
      </c>
      <c r="C35" s="58"/>
      <c r="D35" s="97">
        <f>('Historical Financials'!D45-'Historical Financials'!C45)/'Historical Financials'!C45</f>
        <v>-3.7499722635188824E-3</v>
      </c>
      <c r="E35" s="97">
        <f>('Historical Financials'!E45-'Historical Financials'!D45)/'Historical Financials'!D45</f>
        <v>4.6728139338055398E-2</v>
      </c>
      <c r="F35" s="97">
        <f>('Historical Financials'!F45-'Historical Financials'!E45)/'Historical Financials'!E45</f>
        <v>0.23908417737679788</v>
      </c>
      <c r="G35" s="97">
        <f>('Historical Financials'!G45-'Historical Financials'!F45)/'Historical Financials'!F45</f>
        <v>-0.10348262123918112</v>
      </c>
      <c r="H35" s="97">
        <f>('Historical Financials'!H45-'Historical Financials'!G45)/'Historical Financials'!G45</f>
        <v>0.41286442171397914</v>
      </c>
      <c r="I35" s="97">
        <f>('Historical Financials'!I45-'Historical Financials'!H45)/'Historical Financials'!H45</f>
        <v>0.16716377440347072</v>
      </c>
      <c r="J35" s="97">
        <f>('Historical Financials'!J45-'Historical Financials'!I45)/'Historical Financials'!I45</f>
        <v>0.33311650598211168</v>
      </c>
      <c r="K35" s="97">
        <f>('Historical Financials'!K45-'Historical Financials'!J45)/'Historical Financials'!J45</f>
        <v>0.11026592778474853</v>
      </c>
      <c r="L35" s="97">
        <f>('Historical Financials'!L45-'Historical Financials'!K45)/'Historical Financials'!K45</f>
        <v>9.9157922823979824E-2</v>
      </c>
    </row>
    <row r="37" spans="2:12" ht="15.75" thickBot="1" x14ac:dyDescent="0.3">
      <c r="B37" s="30" t="s">
        <v>76</v>
      </c>
      <c r="C37" s="60"/>
      <c r="D37" s="100">
        <f>('Historical Financials'!D47-'Historical Financials'!C47)/'Historical Financials'!C47</f>
        <v>0.195165586189083</v>
      </c>
      <c r="E37" s="100">
        <f>('Historical Financials'!E47-'Historical Financials'!D47)/'Historical Financials'!D47</f>
        <v>0.15053418670937083</v>
      </c>
      <c r="F37" s="100">
        <f>('Historical Financials'!F47-'Historical Financials'!E47)/'Historical Financials'!E47</f>
        <v>7.4581203424278014E-2</v>
      </c>
      <c r="G37" s="100">
        <f>('Historical Financials'!G47-'Historical Financials'!F47)/'Historical Financials'!F47</f>
        <v>-1.3520193604128927E-2</v>
      </c>
      <c r="H37" s="100">
        <f>('Historical Financials'!H47-'Historical Financials'!G47)/'Historical Financials'!G47</f>
        <v>0.1438495939623782</v>
      </c>
      <c r="I37" s="100">
        <f>('Historical Financials'!I47-'Historical Financials'!H47)/'Historical Financials'!H47</f>
        <v>5.7298789492597577E-2</v>
      </c>
      <c r="J37" s="100">
        <f>('Historical Financials'!J47-'Historical Financials'!I47)/'Historical Financials'!I47</f>
        <v>0.34010052303202465</v>
      </c>
      <c r="K37" s="100">
        <f>('Historical Financials'!K47-'Historical Financials'!J47)/'Historical Financials'!J47</f>
        <v>0.14754603756134449</v>
      </c>
      <c r="L37" s="100">
        <f>('Historical Financials'!L47-'Historical Financials'!K47)/'Historical Financials'!K47</f>
        <v>0.14003673668295216</v>
      </c>
    </row>
    <row r="38" spans="2:12" ht="15.75" thickTop="1" x14ac:dyDescent="0.25"/>
    <row r="39" spans="2:12" x14ac:dyDescent="0.25">
      <c r="B39" s="51" t="s">
        <v>79</v>
      </c>
      <c r="C39" s="9"/>
      <c r="D39" s="95"/>
      <c r="E39" s="95"/>
      <c r="F39" s="95"/>
      <c r="G39" s="95"/>
      <c r="H39" s="95"/>
      <c r="I39" s="95"/>
      <c r="J39" s="95"/>
      <c r="K39" s="95"/>
      <c r="L39" s="95"/>
    </row>
    <row r="40" spans="2:12" x14ac:dyDescent="0.25">
      <c r="B40" s="1" t="s">
        <v>80</v>
      </c>
    </row>
    <row r="41" spans="2:12" x14ac:dyDescent="0.25">
      <c r="B41" t="s">
        <v>114</v>
      </c>
      <c r="D41" s="88">
        <f>('Historical Financials'!D51-'Historical Financials'!C51)/'Historical Financials'!C51</f>
        <v>0.32635492075914696</v>
      </c>
      <c r="E41" s="88">
        <f>('Historical Financials'!E51-'Historical Financials'!D51)/'Historical Financials'!D51</f>
        <v>0.31804100899837734</v>
      </c>
      <c r="F41" s="88">
        <f>('Historical Financials'!F51-'Historical Financials'!E51)/'Historical Financials'!E51</f>
        <v>0.16541689983212088</v>
      </c>
      <c r="G41" s="88">
        <f>('Historical Financials'!G51-'Historical Financials'!F51)/'Historical Financials'!F51</f>
        <v>0.15586286372803226</v>
      </c>
      <c r="H41" s="88">
        <f>('Historical Financials'!H51-'Historical Financials'!G51)/'Historical Financials'!G51</f>
        <v>-8.1090063143901631E-2</v>
      </c>
      <c r="I41" s="88">
        <f>('Historical Financials'!I51-'Historical Financials'!H51)/'Historical Financials'!H51</f>
        <v>-0.32160940325497289</v>
      </c>
      <c r="J41" s="88">
        <f>('Historical Financials'!J51-'Historical Financials'!I51)/'Historical Financials'!I51</f>
        <v>-0.26282820205251234</v>
      </c>
      <c r="K41" s="88">
        <f>('Historical Financials'!K51-'Historical Financials'!J51)/'Historical Financials'!J51</f>
        <v>5.4420538781413848E-2</v>
      </c>
      <c r="L41" s="88">
        <f>('Historical Financials'!L51-'Historical Financials'!K51)/'Historical Financials'!K51</f>
        <v>1.2592592592592593</v>
      </c>
    </row>
    <row r="42" spans="2:12" x14ac:dyDescent="0.25">
      <c r="B42" t="s">
        <v>106</v>
      </c>
      <c r="D42" s="88">
        <f>('Historical Financials'!D52-'Historical Financials'!C52)/'Historical Financials'!C52</f>
        <v>6.5</v>
      </c>
      <c r="E42" s="88">
        <f>('Historical Financials'!E52-'Historical Financials'!D52)/'Historical Financials'!D52</f>
        <v>-1.5913043478260869</v>
      </c>
      <c r="F42" s="88">
        <f>('Historical Financials'!F52-'Historical Financials'!E52)/'Historical Financials'!E52</f>
        <v>-1.5980392156862746</v>
      </c>
      <c r="G42" s="88">
        <f>('Historical Financials'!G52-'Historical Financials'!F52)/'Historical Financials'!F52</f>
        <v>-3.1475409836065573</v>
      </c>
      <c r="H42" s="88">
        <f>('Historical Financials'!H52-'Historical Financials'!G52)/'Historical Financials'!G52</f>
        <v>2.2480916030534353</v>
      </c>
      <c r="I42" s="88">
        <f>('Historical Financials'!I52-'Historical Financials'!H52)/'Historical Financials'!H52</f>
        <v>-1.399529964747356</v>
      </c>
      <c r="J42" s="88">
        <f>('Historical Financials'!J52-'Historical Financials'!I52)/'Historical Financials'!I52</f>
        <v>1.0470588235294118</v>
      </c>
      <c r="K42" s="88">
        <f>('Historical Financials'!K52-'Historical Financials'!J52)/'Historical Financials'!J52</f>
        <v>-2.0977011494252875</v>
      </c>
      <c r="L42" s="88">
        <f>('Historical Financials'!L52-'Historical Financials'!K52)/'Historical Financials'!K52</f>
        <v>0.66230366492146597</v>
      </c>
    </row>
    <row r="43" spans="2:12" x14ac:dyDescent="0.25">
      <c r="B43" t="s">
        <v>55</v>
      </c>
      <c r="D43" s="88">
        <f>('Historical Financials'!D53-'Historical Financials'!C53)/'Historical Financials'!C53</f>
        <v>-8.9193548387096779</v>
      </c>
      <c r="E43" s="88">
        <f>('Historical Financials'!E53-'Historical Financials'!D53)/'Historical Financials'!D53</f>
        <v>-0.5417515274949084</v>
      </c>
      <c r="F43" s="88">
        <f>('Historical Financials'!F53-'Historical Financials'!E53)/'Historical Financials'!E53</f>
        <v>-0.7088888888888889</v>
      </c>
      <c r="G43" s="88">
        <f>('Historical Financials'!G53-'Historical Financials'!F53)/'Historical Financials'!F53</f>
        <v>-1.7938931297709924</v>
      </c>
      <c r="H43" s="88">
        <f>('Historical Financials'!H53-'Historical Financials'!G53)/'Historical Financials'!G53</f>
        <v>-2.5576923076923075</v>
      </c>
      <c r="I43" s="88">
        <f>('Historical Financials'!I53-'Historical Financials'!H53)/'Historical Financials'!H53</f>
        <v>-1.6728395061728396</v>
      </c>
      <c r="J43" s="88">
        <f>('Historical Financials'!J53-'Historical Financials'!I53)/'Historical Financials'!I53</f>
        <v>0.51376146788990829</v>
      </c>
      <c r="K43" s="88">
        <f>('Historical Financials'!K53-'Historical Financials'!J53)/'Historical Financials'!J53</f>
        <v>-3.9272727272727272</v>
      </c>
      <c r="L43" s="88">
        <f>('Historical Financials'!L53-'Historical Financials'!K53)/'Historical Financials'!K53</f>
        <v>1.173913043478261</v>
      </c>
    </row>
    <row r="44" spans="2:12" x14ac:dyDescent="0.25">
      <c r="B44" t="s">
        <v>107</v>
      </c>
      <c r="D44" s="88">
        <f>('Historical Financials'!D54-'Historical Financials'!C54)/'Historical Financials'!C54</f>
        <v>-0.12423124231242312</v>
      </c>
      <c r="E44" s="88">
        <f>('Historical Financials'!E54-'Historical Financials'!D54)/'Historical Financials'!D54</f>
        <v>1.5126404494382022</v>
      </c>
      <c r="F44" s="88">
        <f>('Historical Financials'!F54-'Historical Financials'!E54)/'Historical Financials'!E54</f>
        <v>-0.45276690888764676</v>
      </c>
      <c r="G44" s="88">
        <f>('Historical Financials'!G54-'Historical Financials'!F54)/'Historical Financials'!F54</f>
        <v>1.1736465781409602</v>
      </c>
      <c r="H44" s="88">
        <f>('Historical Financials'!H54-'Historical Financials'!G54)/'Historical Financials'!G54</f>
        <v>-1.4031954887218046</v>
      </c>
      <c r="I44" s="88">
        <f>('Historical Financials'!I54-'Historical Financials'!H54)/'Historical Financials'!H54</f>
        <v>1.5116550116550116</v>
      </c>
      <c r="J44" s="88">
        <f>('Historical Financials'!J54-'Historical Financials'!I54)/'Historical Financials'!I54</f>
        <v>-2.2436194895591646</v>
      </c>
      <c r="K44" s="88">
        <f>('Historical Financials'!K54-'Historical Financials'!J54)/'Historical Financials'!J54</f>
        <v>-1.1477611940298507</v>
      </c>
      <c r="L44" s="88">
        <f>('Historical Financials'!L54-'Historical Financials'!K54)/'Historical Financials'!K54</f>
        <v>-7.2904040404040407</v>
      </c>
    </row>
    <row r="45" spans="2:12" x14ac:dyDescent="0.25">
      <c r="B45" t="s">
        <v>108</v>
      </c>
      <c r="D45" s="88">
        <f>('Historical Financials'!D55-'Historical Financials'!C55)/'Historical Financials'!C55</f>
        <v>-1.0408525754884548</v>
      </c>
      <c r="E45" s="88">
        <f>('Historical Financials'!E55-'Historical Financials'!D55)/'Historical Financials'!D55</f>
        <v>-1.0434782608695652</v>
      </c>
      <c r="F45" s="86">
        <f>IFERROR(('Historical Financials'!F55-'Historical Financials'!E55)/'Historical Financials'!E55,"-")</f>
        <v>-2</v>
      </c>
      <c r="G45" s="88">
        <f>('Historical Financials'!G55-'Historical Financials'!F55)/'Historical Financials'!F55</f>
        <v>-1</v>
      </c>
      <c r="H45" s="88" t="e">
        <f>('Historical Financials'!H55-'Historical Financials'!G55)/'Historical Financials'!G55</f>
        <v>#DIV/0!</v>
      </c>
      <c r="I45" s="88">
        <f>('Historical Financials'!I55-'Historical Financials'!H55)/'Historical Financials'!H55</f>
        <v>-0.92307692307692313</v>
      </c>
      <c r="J45" s="88">
        <f>('Historical Financials'!J55-'Historical Financials'!I55)/'Historical Financials'!I55</f>
        <v>5</v>
      </c>
      <c r="K45" s="88">
        <f>('Historical Financials'!K55-'Historical Financials'!J55)/'Historical Financials'!J55</f>
        <v>0.33333333333333331</v>
      </c>
      <c r="L45" s="88">
        <f>('Historical Financials'!L55-'Historical Financials'!K55)/'Historical Financials'!K55</f>
        <v>-1.125</v>
      </c>
    </row>
    <row r="46" spans="2:12" x14ac:dyDescent="0.25">
      <c r="B46" t="s">
        <v>109</v>
      </c>
      <c r="D46" s="86" t="str">
        <f>IFERROR(('Historical Financials'!D56-'Historical Financials'!C56)/'Historical Financials'!C56,"-")</f>
        <v>-</v>
      </c>
      <c r="E46" s="86" t="str">
        <f>IFERROR(('Historical Financials'!E56-'Historical Financials'!D56)/'Historical Financials'!D56,"-")</f>
        <v>-</v>
      </c>
      <c r="F46" s="86" t="str">
        <f>IFERROR(('Historical Financials'!F56-'Historical Financials'!E56)/'Historical Financials'!E56,"-")</f>
        <v>-</v>
      </c>
      <c r="G46" s="86" t="str">
        <f>IFERROR(('Historical Financials'!G56-'Historical Financials'!F56)/'Historical Financials'!F56,"-")</f>
        <v>-</v>
      </c>
      <c r="H46" s="86" t="str">
        <f>IFERROR(('Historical Financials'!H56-'Historical Financials'!G56)/'Historical Financials'!G56,"-")</f>
        <v>-</v>
      </c>
      <c r="I46" s="86" t="str">
        <f>IFERROR(('Historical Financials'!I56-'Historical Financials'!H56)/'Historical Financials'!H56,"-")</f>
        <v>-</v>
      </c>
      <c r="J46" s="86" t="str">
        <f>IFERROR(('Historical Financials'!J56-'Historical Financials'!I56)/'Historical Financials'!I56,"-")</f>
        <v>-</v>
      </c>
      <c r="K46" s="86" t="str">
        <f>IFERROR(('Historical Financials'!K56-'Historical Financials'!J56)/'Historical Financials'!J56,"-")</f>
        <v>-</v>
      </c>
      <c r="L46" s="86" t="str">
        <f>IFERROR(('Historical Financials'!L56-'Historical Financials'!K56)/'Historical Financials'!K56,"-")</f>
        <v>-</v>
      </c>
    </row>
    <row r="47" spans="2:12" x14ac:dyDescent="0.25">
      <c r="B47" t="s">
        <v>110</v>
      </c>
      <c r="D47" s="88">
        <f>('Historical Financials'!D57-'Historical Financials'!C57)/'Historical Financials'!C57</f>
        <v>1.0186915887850467</v>
      </c>
      <c r="E47" s="88">
        <f>('Historical Financials'!E57-'Historical Financials'!D57)/'Historical Financials'!D57</f>
        <v>-0.49845679012345678</v>
      </c>
      <c r="F47" s="88">
        <f>('Historical Financials'!F57-'Historical Financials'!E57)/'Historical Financials'!E57</f>
        <v>2.76</v>
      </c>
      <c r="G47" s="88">
        <f>('Historical Financials'!G57-'Historical Financials'!F57)/'Historical Financials'!F57</f>
        <v>-0.31342062193126025</v>
      </c>
      <c r="H47" s="88">
        <f>('Historical Financials'!H57-'Historical Financials'!G57)/'Historical Financials'!G57</f>
        <v>-0.32181168057210968</v>
      </c>
      <c r="I47" s="88">
        <f>('Historical Financials'!I57-'Historical Financials'!H57)/'Historical Financials'!H57</f>
        <v>-2.5166959578207382</v>
      </c>
      <c r="J47" s="88">
        <f>('Historical Financials'!J57-'Historical Financials'!I57)/'Historical Financials'!I57</f>
        <v>-1.9281575898030128</v>
      </c>
      <c r="K47" s="88">
        <f>('Historical Financials'!K57-'Historical Financials'!J57)/'Historical Financials'!J57</f>
        <v>-2.4506866416978776</v>
      </c>
      <c r="L47" s="88">
        <f>('Historical Financials'!L57-'Historical Financials'!K57)/'Historical Financials'!K57</f>
        <v>-0.76850258175559383</v>
      </c>
    </row>
    <row r="48" spans="2:12" x14ac:dyDescent="0.25">
      <c r="B48" t="s">
        <v>111</v>
      </c>
      <c r="D48" s="88">
        <f>('Historical Financials'!D58-'Historical Financials'!C58)/'Historical Financials'!C58</f>
        <v>4.0431266846361188E-3</v>
      </c>
      <c r="E48" s="88">
        <f>('Historical Financials'!E58-'Historical Financials'!D58)/'Historical Financials'!D58</f>
        <v>0.95973154362416102</v>
      </c>
      <c r="F48" s="88">
        <f>('Historical Financials'!F58-'Historical Financials'!E58)/'Historical Financials'!E58</f>
        <v>0.50136986301369868</v>
      </c>
      <c r="G48" s="88">
        <f>('Historical Financials'!G58-'Historical Financials'!F58)/'Historical Financials'!F58</f>
        <v>0.28102189781021897</v>
      </c>
      <c r="H48" s="88">
        <f>('Historical Financials'!H58-'Historical Financials'!G58)/'Historical Financials'!G58</f>
        <v>-1.4683048433048433</v>
      </c>
      <c r="I48" s="88">
        <f>('Historical Financials'!I58-'Historical Financials'!H58)/'Historical Financials'!H58</f>
        <v>0.95437262357414454</v>
      </c>
      <c r="J48" s="88">
        <f>('Historical Financials'!J58-'Historical Financials'!I58)/'Historical Financials'!I58</f>
        <v>-2.6871595330739297</v>
      </c>
      <c r="K48" s="88">
        <f>('Historical Financials'!K58-'Historical Financials'!J58)/'Historical Financials'!J58</f>
        <v>-1.6487546125461254</v>
      </c>
      <c r="L48" s="88">
        <f>('Historical Financials'!L58-'Historical Financials'!K58)/'Historical Financials'!K58</f>
        <v>-0.96551724137931039</v>
      </c>
    </row>
    <row r="49" spans="2:13" x14ac:dyDescent="0.25">
      <c r="B49" t="s">
        <v>112</v>
      </c>
      <c r="D49" s="88">
        <f>('Historical Financials'!D59-'Historical Financials'!C59)/'Historical Financials'!C59</f>
        <v>0.2529137529137529</v>
      </c>
      <c r="E49" s="88">
        <f>('Historical Financials'!E59-'Historical Financials'!D59)/'Historical Financials'!D59</f>
        <v>0.77860465116279065</v>
      </c>
      <c r="F49" s="88">
        <f>('Historical Financials'!F59-'Historical Financials'!E59)/'Historical Financials'!E59</f>
        <v>0.21495815899581591</v>
      </c>
      <c r="G49" s="88">
        <f>('Historical Financials'!G59-'Historical Financials'!F59)/'Historical Financials'!F59</f>
        <v>0.31554024967714162</v>
      </c>
      <c r="H49" s="88">
        <f>('Historical Financials'!H59-'Historical Financials'!G59)/'Historical Financials'!G59</f>
        <v>2.8795811518324606E-2</v>
      </c>
      <c r="I49" s="88">
        <f>('Historical Financials'!I59-'Historical Financials'!H59)/'Historical Financials'!H59</f>
        <v>-0.54262086513994912</v>
      </c>
      <c r="J49" s="88">
        <f>('Historical Financials'!J59-'Historical Financials'!I59)/'Historical Financials'!I59</f>
        <v>-0.29694019471488176</v>
      </c>
      <c r="K49" s="88">
        <f>('Historical Financials'!K59-'Historical Financials'!J59)/'Historical Financials'!J59</f>
        <v>0.16518298714144411</v>
      </c>
      <c r="L49" s="88">
        <f>('Historical Financials'!L59-'Historical Financials'!K59)/'Historical Financials'!K59</f>
        <v>0.92275042444821731</v>
      </c>
    </row>
    <row r="50" spans="2:13" x14ac:dyDescent="0.25">
      <c r="B50" s="32" t="s">
        <v>113</v>
      </c>
      <c r="C50" s="58"/>
      <c r="D50" s="97">
        <f>('Historical Financials'!D60-'Historical Financials'!C60)/'Historical Financials'!C60</f>
        <v>0.25435843793584378</v>
      </c>
      <c r="E50" s="97">
        <f>('Historical Financials'!E60-'Historical Financials'!D60)/'Historical Financials'!D60</f>
        <v>0.38179291174426683</v>
      </c>
      <c r="F50" s="97">
        <f>('Historical Financials'!F60-'Historical Financials'!E60)/'Historical Financials'!E60</f>
        <v>0.25477771072218869</v>
      </c>
      <c r="G50" s="97">
        <f>('Historical Financials'!G60-'Historical Financials'!F60)/'Historical Financials'!F60</f>
        <v>0.17010020040080159</v>
      </c>
      <c r="H50" s="97">
        <f>('Historical Financials'!H60-'Historical Financials'!G60)/'Historical Financials'!G60</f>
        <v>-0.63787079536891145</v>
      </c>
      <c r="I50" s="97">
        <f>('Historical Financials'!I60-'Historical Financials'!H60)/'Historical Financials'!H60</f>
        <v>-0.82500945894816491</v>
      </c>
      <c r="J50" s="97">
        <f>('Historical Financials'!J60-'Historical Financials'!I60)/'Historical Financials'!I60</f>
        <v>13.261621621621622</v>
      </c>
      <c r="K50" s="97">
        <f>('Historical Financials'!K60-'Historical Financials'!J60)/'Historical Financials'!J60</f>
        <v>-1.0736810187992722</v>
      </c>
      <c r="L50" s="97">
        <f>('Historical Financials'!L60-'Historical Financials'!K60)/'Historical Financials'!K60</f>
        <v>-12.025720164609053</v>
      </c>
    </row>
    <row r="52" spans="2:13" x14ac:dyDescent="0.25">
      <c r="B52" s="1" t="s">
        <v>115</v>
      </c>
    </row>
    <row r="53" spans="2:13" x14ac:dyDescent="0.25">
      <c r="B53" t="s">
        <v>90</v>
      </c>
      <c r="D53" s="86">
        <f>IFERROR(('Historical Financials'!D63-'Historical Financials'!C63)/'Historical Financials'!C63,"-")</f>
        <v>-0.13737658674188999</v>
      </c>
      <c r="E53" s="86">
        <f>IFERROR(('Historical Financials'!E63-'Historical Financials'!D63)/'Historical Financials'!D63,"-")</f>
        <v>-0.19260954872465663</v>
      </c>
      <c r="F53" s="86">
        <f>IFERROR(('Historical Financials'!F63-'Historical Financials'!E63)/'Historical Financials'!E63,"-")</f>
        <v>0.37343053867962739</v>
      </c>
      <c r="G53" s="86">
        <f>IFERROR(('Historical Financials'!G63-'Historical Financials'!F63)/'Historical Financials'!F63,"-")</f>
        <v>0.15364199351223828</v>
      </c>
      <c r="H53" s="86">
        <f>IFERROR(('Historical Financials'!H63-'Historical Financials'!G63)/'Historical Financials'!G63,"-")</f>
        <v>0.24539877300613497</v>
      </c>
      <c r="I53" s="86">
        <f>IFERROR(('Historical Financials'!I63-'Historical Financials'!H63)/'Historical Financials'!H63,"-")</f>
        <v>-0.29454022988505746</v>
      </c>
      <c r="J53" s="86">
        <f>IFERROR(('Historical Financials'!J63-'Historical Financials'!I63)/'Historical Financials'!I63,"-")</f>
        <v>-0.31044515565900493</v>
      </c>
      <c r="K53" s="86">
        <f>IFERROR(('Historical Financials'!K63-'Historical Financials'!J63)/'Historical Financials'!J63,"-")</f>
        <v>0.45949367088607596</v>
      </c>
      <c r="L53" s="86">
        <f>IFERROR(('Historical Financials'!L63-'Historical Financials'!K63)/'Historical Financials'!K63,"-")</f>
        <v>1.3315987279560566</v>
      </c>
      <c r="M53" s="57"/>
    </row>
    <row r="54" spans="2:13" x14ac:dyDescent="0.25">
      <c r="B54" t="s">
        <v>91</v>
      </c>
      <c r="D54" s="86">
        <f>IFERROR(('Historical Financials'!D64-'Historical Financials'!C64)/'Historical Financials'!C64,"-")</f>
        <v>0.77777777777777779</v>
      </c>
      <c r="E54" s="86">
        <f>IFERROR(('Historical Financials'!E64-'Historical Financials'!D64)/'Historical Financials'!D64,"-")</f>
        <v>-0.25</v>
      </c>
      <c r="F54" s="86">
        <f>IFERROR(('Historical Financials'!F64-'Historical Financials'!E64)/'Historical Financials'!E64,"-")</f>
        <v>0.33333333333333331</v>
      </c>
      <c r="G54" s="86">
        <f>IFERROR(('Historical Financials'!G64-'Historical Financials'!F64)/'Historical Financials'!F64,"-")</f>
        <v>0.625</v>
      </c>
      <c r="H54" s="86">
        <f>IFERROR(('Historical Financials'!H64-'Historical Financials'!G64)/'Historical Financials'!G64,"-")</f>
        <v>5.5384615384615383</v>
      </c>
      <c r="I54" s="86">
        <f>IFERROR(('Historical Financials'!I64-'Historical Financials'!H64)/'Historical Financials'!H64,"-")</f>
        <v>-0.78235294117647058</v>
      </c>
      <c r="J54" s="86">
        <f>IFERROR(('Historical Financials'!J64-'Historical Financials'!I64)/'Historical Financials'!I64,"-")</f>
        <v>0.13513513513513514</v>
      </c>
      <c r="K54" s="86">
        <f>IFERROR(('Historical Financials'!K64-'Historical Financials'!J64)/'Historical Financials'!J64,"-")</f>
        <v>2.2380952380952381</v>
      </c>
      <c r="L54" s="86">
        <f>IFERROR(('Historical Financials'!L64-'Historical Financials'!K64)/'Historical Financials'!K64,"-")</f>
        <v>-0.19852941176470587</v>
      </c>
      <c r="M54" s="57"/>
    </row>
    <row r="55" spans="2:13" x14ac:dyDescent="0.25">
      <c r="B55" t="s">
        <v>92</v>
      </c>
      <c r="D55" s="86">
        <f>IFERROR(('Historical Financials'!D65-'Historical Financials'!C65)/'Historical Financials'!C65,"-")</f>
        <v>0.32473282442748092</v>
      </c>
      <c r="E55" s="86">
        <f>IFERROR(('Historical Financials'!E65-'Historical Financials'!D65)/'Historical Financials'!D65,"-")</f>
        <v>-0.30598132995274863</v>
      </c>
      <c r="F55" s="86">
        <f>IFERROR(('Historical Financials'!F65-'Historical Financials'!E65)/'Historical Financials'!E65,"-")</f>
        <v>0.47093988708070411</v>
      </c>
      <c r="G55" s="86">
        <f>IFERROR(('Historical Financials'!G65-'Historical Financials'!F65)/'Historical Financials'!F65,"-")</f>
        <v>1.6568638518853014</v>
      </c>
      <c r="H55" s="86">
        <f>IFERROR(('Historical Financials'!H65-'Historical Financials'!G65)/'Historical Financials'!G65,"-")</f>
        <v>0.12509294864985446</v>
      </c>
      <c r="I55" s="86">
        <f>IFERROR(('Historical Financials'!I65-'Historical Financials'!H65)/'Historical Financials'!H65,"-")</f>
        <v>-0.16526615933682043</v>
      </c>
      <c r="J55" s="86">
        <f>IFERROR(('Historical Financials'!J65-'Historical Financials'!I65)/'Historical Financials'!I65,"-")</f>
        <v>1.5020925234701957E-2</v>
      </c>
      <c r="K55" s="86">
        <f>IFERROR(('Historical Financials'!K65-'Historical Financials'!J65)/'Historical Financials'!J65,"-")</f>
        <v>0.34892687601684907</v>
      </c>
      <c r="L55" s="86">
        <f>IFERROR(('Historical Financials'!L65-'Historical Financials'!K65)/'Historical Financials'!K65,"-")</f>
        <v>0.10032218091697645</v>
      </c>
      <c r="M55" s="57"/>
    </row>
    <row r="56" spans="2:13" x14ac:dyDescent="0.25">
      <c r="B56" t="s">
        <v>93</v>
      </c>
      <c r="D56" s="86">
        <f>IFERROR(('Historical Financials'!D66-'Historical Financials'!C66)/'Historical Financials'!C66,"-")</f>
        <v>0.46124401913875596</v>
      </c>
      <c r="E56" s="86">
        <f>IFERROR(('Historical Financials'!E66-'Historical Financials'!D66)/'Historical Financials'!D66,"-")</f>
        <v>-0.51683038637851997</v>
      </c>
      <c r="F56" s="86">
        <f>IFERROR(('Historical Financials'!F66-'Historical Financials'!E66)/'Historical Financials'!E66,"-")</f>
        <v>0.60463540254811599</v>
      </c>
      <c r="G56" s="86">
        <f>IFERROR(('Historical Financials'!G66-'Historical Financials'!F66)/'Historical Financials'!F66,"-")</f>
        <v>2.595236084128727</v>
      </c>
      <c r="H56" s="86">
        <f>IFERROR(('Historical Financials'!H66-'Historical Financials'!G66)/'Historical Financials'!G66,"-")</f>
        <v>0.2683488393947937</v>
      </c>
      <c r="I56" s="86">
        <f>IFERROR(('Historical Financials'!I66-'Historical Financials'!H66)/'Historical Financials'!H66,"-")</f>
        <v>-0.12997814248138406</v>
      </c>
      <c r="J56" s="86">
        <f>IFERROR(('Historical Financials'!J66-'Historical Financials'!I66)/'Historical Financials'!I66,"-")</f>
        <v>-8.6205795311801406E-2</v>
      </c>
      <c r="K56" s="86">
        <f>IFERROR(('Historical Financials'!K66-'Historical Financials'!J66)/'Historical Financials'!J66,"-")</f>
        <v>0.48133737185461323</v>
      </c>
      <c r="L56" s="86">
        <f>IFERROR(('Historical Financials'!L66-'Historical Financials'!K66)/'Historical Financials'!K66,"-")</f>
        <v>-3.1047987543056668E-2</v>
      </c>
      <c r="M56" s="57"/>
    </row>
    <row r="57" spans="2:13" x14ac:dyDescent="0.25">
      <c r="B57" t="s">
        <v>94</v>
      </c>
      <c r="D57" s="86">
        <f>IFERROR(('Historical Financials'!D67-'Historical Financials'!C67)/'Historical Financials'!C67,"-")</f>
        <v>-0.22051282051282051</v>
      </c>
      <c r="E57" s="86">
        <f>IFERROR(('Historical Financials'!E67-'Historical Financials'!D67)/'Historical Financials'!D67,"-")</f>
        <v>-0.55921052631578949</v>
      </c>
      <c r="F57" s="86">
        <f>IFERROR(('Historical Financials'!F67-'Historical Financials'!E67)/'Historical Financials'!E67,"-")</f>
        <v>-0.46268656716417911</v>
      </c>
      <c r="G57" s="86">
        <f>IFERROR(('Historical Financials'!G67-'Historical Financials'!F67)/'Historical Financials'!F67,"-")</f>
        <v>0.88888888888888884</v>
      </c>
      <c r="H57" s="86">
        <f>IFERROR(('Historical Financials'!H67-'Historical Financials'!G67)/'Historical Financials'!G67,"-")</f>
        <v>0.82352941176470584</v>
      </c>
      <c r="I57" s="86">
        <f>IFERROR(('Historical Financials'!I67-'Historical Financials'!H67)/'Historical Financials'!H67,"-")</f>
        <v>-0.22580645161290322</v>
      </c>
      <c r="J57" s="86">
        <f>IFERROR(('Historical Financials'!J67-'Historical Financials'!I67)/'Historical Financials'!I67,"-")</f>
        <v>-0.30208333333333331</v>
      </c>
      <c r="K57" s="86">
        <f>IFERROR(('Historical Financials'!K67-'Historical Financials'!J67)/'Historical Financials'!J67,"-")</f>
        <v>1.5970149253731343</v>
      </c>
      <c r="L57" s="86">
        <f>IFERROR(('Historical Financials'!L67-'Historical Financials'!K67)/'Historical Financials'!K67,"-")</f>
        <v>0.79885057471264365</v>
      </c>
      <c r="M57" s="57"/>
    </row>
    <row r="58" spans="2:13" x14ac:dyDescent="0.25">
      <c r="B58" t="s">
        <v>95</v>
      </c>
      <c r="D58" s="86">
        <f>IFERROR(('Historical Financials'!D68-'Historical Financials'!C68)/'Historical Financials'!C68,"-")</f>
        <v>0</v>
      </c>
      <c r="E58" s="86">
        <f>IFERROR(('Historical Financials'!E68-'Historical Financials'!D68)/'Historical Financials'!D68,"-")</f>
        <v>-0.79629629629629628</v>
      </c>
      <c r="F58" s="86">
        <f>IFERROR(('Historical Financials'!F68-'Historical Financials'!E68)/'Historical Financials'!E68,"-")</f>
        <v>0.18181818181818182</v>
      </c>
      <c r="G58" s="86">
        <f>IFERROR(('Historical Financials'!G68-'Historical Financials'!F68)/'Historical Financials'!F68,"-")</f>
        <v>0.53846153846153844</v>
      </c>
      <c r="H58" s="86">
        <f>IFERROR(('Historical Financials'!H68-'Historical Financials'!G68)/'Historical Financials'!G68,"-")</f>
        <v>-0.55000000000000004</v>
      </c>
      <c r="I58" s="86">
        <f>IFERROR(('Historical Financials'!I68-'Historical Financials'!H68)/'Historical Financials'!H68,"-")</f>
        <v>-0.55555555555555558</v>
      </c>
      <c r="J58" s="86">
        <f>IFERROR(('Historical Financials'!J68-'Historical Financials'!I68)/'Historical Financials'!I68,"-")</f>
        <v>-0.25</v>
      </c>
      <c r="K58" s="86">
        <f>IFERROR(('Historical Financials'!K68-'Historical Financials'!J68)/'Historical Financials'!J68,"-")</f>
        <v>0</v>
      </c>
      <c r="L58" s="86">
        <f>IFERROR(('Historical Financials'!L68-'Historical Financials'!K68)/'Historical Financials'!K68,"-")</f>
        <v>1</v>
      </c>
      <c r="M58" s="57"/>
    </row>
    <row r="59" spans="2:13" x14ac:dyDescent="0.25">
      <c r="B59" t="s">
        <v>96</v>
      </c>
      <c r="D59" s="86" t="str">
        <f>IFERROR(('Historical Financials'!D69-'Historical Financials'!C69)/'Historical Financials'!C69,"-")</f>
        <v>-</v>
      </c>
      <c r="E59" s="86" t="str">
        <f>IFERROR(('Historical Financials'!E69-'Historical Financials'!D69)/'Historical Financials'!D69,"-")</f>
        <v>-</v>
      </c>
      <c r="F59" s="86" t="str">
        <f>IFERROR(('Historical Financials'!F69-'Historical Financials'!E69)/'Historical Financials'!E69,"-")</f>
        <v>-</v>
      </c>
      <c r="G59" s="86">
        <f>IFERROR(('Historical Financials'!G69-'Historical Financials'!F69)/'Historical Financials'!F69,"-")</f>
        <v>-1</v>
      </c>
      <c r="H59" s="86" t="str">
        <f>IFERROR(('Historical Financials'!H69-'Historical Financials'!G69)/'Historical Financials'!G69,"-")</f>
        <v>-</v>
      </c>
      <c r="I59" s="86" t="str">
        <f>IFERROR(('Historical Financials'!I69-'Historical Financials'!H69)/'Historical Financials'!H69,"-")</f>
        <v>-</v>
      </c>
      <c r="J59" s="86" t="str">
        <f>IFERROR(('Historical Financials'!J69-'Historical Financials'!I69)/'Historical Financials'!I69,"-")</f>
        <v>-</v>
      </c>
      <c r="K59" s="86" t="str">
        <f>IFERROR(('Historical Financials'!K69-'Historical Financials'!J69)/'Historical Financials'!J69,"-")</f>
        <v>-</v>
      </c>
      <c r="L59" s="86" t="str">
        <f>IFERROR(('Historical Financials'!L69-'Historical Financials'!K69)/'Historical Financials'!K69,"-")</f>
        <v>-</v>
      </c>
      <c r="M59" s="57"/>
    </row>
    <row r="60" spans="2:13" x14ac:dyDescent="0.25">
      <c r="B60" t="s">
        <v>97</v>
      </c>
      <c r="D60" s="86" t="str">
        <f>IFERROR(('Historical Financials'!D70-'Historical Financials'!C70)/'Historical Financials'!C70,"-")</f>
        <v>-</v>
      </c>
      <c r="E60" s="86" t="str">
        <f>IFERROR(('Historical Financials'!E70-'Historical Financials'!D70)/'Historical Financials'!D70,"-")</f>
        <v>-</v>
      </c>
      <c r="F60" s="86" t="str">
        <f>IFERROR(('Historical Financials'!F70-'Historical Financials'!E70)/'Historical Financials'!E70,"-")</f>
        <v>-</v>
      </c>
      <c r="G60" s="86" t="str">
        <f>IFERROR(('Historical Financials'!G70-'Historical Financials'!F70)/'Historical Financials'!F70,"-")</f>
        <v>-</v>
      </c>
      <c r="H60" s="86" t="str">
        <f>IFERROR(('Historical Financials'!H70-'Historical Financials'!G70)/'Historical Financials'!G70,"-")</f>
        <v>-</v>
      </c>
      <c r="I60" s="86" t="str">
        <f>IFERROR(('Historical Financials'!I70-'Historical Financials'!H70)/'Historical Financials'!H70,"-")</f>
        <v>-</v>
      </c>
      <c r="J60" s="86">
        <f>IFERROR(('Historical Financials'!J70-'Historical Financials'!I70)/'Historical Financials'!I70,"-")</f>
        <v>3.3333333333333335</v>
      </c>
      <c r="K60" s="86">
        <f>IFERROR(('Historical Financials'!K70-'Historical Financials'!J70)/'Historical Financials'!J70,"-")</f>
        <v>1.2461538461538462</v>
      </c>
      <c r="L60" s="86">
        <f>IFERROR(('Historical Financials'!L70-'Historical Financials'!K70)/'Historical Financials'!K70,"-")</f>
        <v>-1</v>
      </c>
      <c r="M60" s="57"/>
    </row>
    <row r="61" spans="2:13" x14ac:dyDescent="0.25">
      <c r="B61" t="s">
        <v>98</v>
      </c>
      <c r="D61" s="86">
        <f>IFERROR(('Historical Financials'!D71-'Historical Financials'!C71)/'Historical Financials'!C71,"-")</f>
        <v>-0.5446808510638298</v>
      </c>
      <c r="E61" s="86">
        <f>IFERROR(('Historical Financials'!E71-'Historical Financials'!D71)/'Historical Financials'!D71,"-")</f>
        <v>-1.4345794392523366</v>
      </c>
      <c r="F61" s="86">
        <f>IFERROR(('Historical Financials'!F71-'Historical Financials'!E71)/'Historical Financials'!E71,"-")</f>
        <v>-1.0376344086021505</v>
      </c>
      <c r="G61" s="86">
        <f>IFERROR(('Historical Financials'!G71-'Historical Financials'!F71)/'Historical Financials'!F71,"-")</f>
        <v>-1</v>
      </c>
      <c r="H61" s="86" t="str">
        <f>IFERROR(('Historical Financials'!H71-'Historical Financials'!G71)/'Historical Financials'!G71,"-")</f>
        <v>-</v>
      </c>
      <c r="I61" s="86" t="str">
        <f>IFERROR(('Historical Financials'!I71-'Historical Financials'!H71)/'Historical Financials'!H71,"-")</f>
        <v>-</v>
      </c>
      <c r="J61" s="86">
        <f>IFERROR(('Historical Financials'!J71-'Historical Financials'!I71)/'Historical Financials'!I71,"-")</f>
        <v>602.79999999999995</v>
      </c>
      <c r="K61" s="86">
        <f>IFERROR(('Historical Financials'!K71-'Historical Financials'!J71)/'Historical Financials'!J71,"-")</f>
        <v>-0.99966876449155351</v>
      </c>
      <c r="L61" s="86">
        <f>IFERROR(('Historical Financials'!L71-'Historical Financials'!K71)/'Historical Financials'!K71,"-")</f>
        <v>-3809</v>
      </c>
      <c r="M61" s="57"/>
    </row>
    <row r="62" spans="2:13" x14ac:dyDescent="0.25">
      <c r="B62" s="32" t="s">
        <v>116</v>
      </c>
      <c r="C62" s="58"/>
      <c r="D62" s="101">
        <f>IFERROR(('Historical Financials'!D72-'Historical Financials'!C72)/'Historical Financials'!C72,"-")</f>
        <v>-0.10106063638182909</v>
      </c>
      <c r="E62" s="101">
        <f>IFERROR(('Historical Financials'!E72-'Historical Financials'!D72)/'Historical Financials'!D72,"-")</f>
        <v>0.60975066785396259</v>
      </c>
      <c r="F62" s="101">
        <f>IFERROR(('Historical Financials'!F72-'Historical Financials'!E72)/'Historical Financials'!E72,"-")</f>
        <v>0.26870419029179921</v>
      </c>
      <c r="G62" s="101">
        <f>IFERROR(('Historical Financials'!G72-'Historical Financials'!F72)/'Historical Financials'!F72,"-")</f>
        <v>-9.4942228035753209E-2</v>
      </c>
      <c r="H62" s="101">
        <f>IFERROR(('Historical Financials'!H72-'Historical Financials'!G72)/'Historical Financials'!G72,"-")</f>
        <v>-0.57364807900758763</v>
      </c>
      <c r="I62" s="101">
        <f>IFERROR(('Historical Financials'!I72-'Historical Financials'!H72)/'Historical Financials'!H72,"-")</f>
        <v>-0.84293785310734459</v>
      </c>
      <c r="J62" s="101">
        <f>IFERROR(('Historical Financials'!J72-'Historical Financials'!I72)/'Historical Financials'!I72,"-")</f>
        <v>12.113309352517986</v>
      </c>
      <c r="K62" s="101">
        <f>IFERROR(('Historical Financials'!K72-'Historical Financials'!J72)/'Historical Financials'!J72,"-")</f>
        <v>-0.96721986010149497</v>
      </c>
      <c r="L62" s="101">
        <f>IFERROR(('Historical Financials'!L72-'Historical Financials'!K72)/'Historical Financials'!K72,"-")</f>
        <v>35.90794979079498</v>
      </c>
    </row>
    <row r="64" spans="2:13" x14ac:dyDescent="0.25">
      <c r="B64" s="1" t="s">
        <v>117</v>
      </c>
    </row>
    <row r="65" spans="2:12" x14ac:dyDescent="0.25">
      <c r="B65" t="s">
        <v>100</v>
      </c>
      <c r="D65" s="86">
        <f>IFERROR(('Historical Financials'!D75-'Historical Financials'!C75)/'Historical Financials'!C75,"-")</f>
        <v>-0.92721518987341767</v>
      </c>
      <c r="E65" s="86">
        <f>IFERROR(('Historical Financials'!E75-'Historical Financials'!D75)/'Historical Financials'!D75,"-")</f>
        <v>-0.16304347826086957</v>
      </c>
      <c r="F65" s="86">
        <f>IFERROR(('Historical Financials'!F75-'Historical Financials'!E75)/'Historical Financials'!E75,"-")</f>
        <v>5.2857142857142856</v>
      </c>
      <c r="G65" s="86">
        <f>IFERROR(('Historical Financials'!G75-'Historical Financials'!F75)/'Historical Financials'!F75,"-")</f>
        <v>-0.97933884297520657</v>
      </c>
      <c r="H65" s="86">
        <f>IFERROR(('Historical Financials'!H75-'Historical Financials'!G75)/'Historical Financials'!G75,"-")</f>
        <v>2.9</v>
      </c>
      <c r="I65" s="86">
        <f>IFERROR(('Historical Financials'!I75-'Historical Financials'!H75)/'Historical Financials'!H75,"-")</f>
        <v>-1</v>
      </c>
      <c r="J65" s="86" t="str">
        <f>IFERROR(('Historical Financials'!J75-'Historical Financials'!I75)/'Historical Financials'!I75,"-")</f>
        <v>-</v>
      </c>
      <c r="K65" s="86">
        <f>IFERROR(('Historical Financials'!K75-'Historical Financials'!J75)/'Historical Financials'!J75,"-")</f>
        <v>-1</v>
      </c>
      <c r="L65" s="86" t="str">
        <f>IFERROR(('Historical Financials'!L75-'Historical Financials'!K75)/'Historical Financials'!K75,"-")</f>
        <v>-</v>
      </c>
    </row>
    <row r="66" spans="2:12" x14ac:dyDescent="0.25">
      <c r="B66" t="s">
        <v>101</v>
      </c>
      <c r="D66" s="86">
        <f>IFERROR(('Historical Financials'!D76-'Historical Financials'!C76)/'Historical Financials'!C76,"-")</f>
        <v>0.63728813559322028</v>
      </c>
      <c r="E66" s="86">
        <f>IFERROR(('Historical Financials'!E76-'Historical Financials'!D76)/'Historical Financials'!D76,"-")</f>
        <v>-0.7839889579020014</v>
      </c>
      <c r="F66" s="86">
        <f>IFERROR(('Historical Financials'!F76-'Historical Financials'!E76)/'Historical Financials'!E76,"-")</f>
        <v>-0.26198083067092653</v>
      </c>
      <c r="G66" s="86">
        <f>IFERROR(('Historical Financials'!G76-'Historical Financials'!F76)/'Historical Financials'!F76,"-")</f>
        <v>0.61471861471861466</v>
      </c>
      <c r="H66" s="86">
        <f>IFERROR(('Historical Financials'!H76-'Historical Financials'!G76)/'Historical Financials'!G76,"-")</f>
        <v>-1</v>
      </c>
      <c r="I66" s="86" t="str">
        <f>IFERROR(('Historical Financials'!I76-'Historical Financials'!H76)/'Historical Financials'!H76,"-")</f>
        <v>-</v>
      </c>
      <c r="J66" s="86">
        <f>IFERROR(('Historical Financials'!J76-'Historical Financials'!I76)/'Historical Financials'!I76,"-")</f>
        <v>-1</v>
      </c>
      <c r="K66" s="86" t="str">
        <f>IFERROR(('Historical Financials'!K76-'Historical Financials'!J76)/'Historical Financials'!J76,"-")</f>
        <v>-</v>
      </c>
      <c r="L66" s="86">
        <f>IFERROR(('Historical Financials'!L76-'Historical Financials'!K76)/'Historical Financials'!K76,"-")</f>
        <v>-1</v>
      </c>
    </row>
    <row r="67" spans="2:12" x14ac:dyDescent="0.25">
      <c r="B67" t="s">
        <v>102</v>
      </c>
      <c r="D67" s="86">
        <f>IFERROR(('Historical Financials'!D77-'Historical Financials'!C77)/'Historical Financials'!C77,"-")</f>
        <v>0.30588235294117649</v>
      </c>
      <c r="E67" s="86">
        <f>IFERROR(('Historical Financials'!E77-'Historical Financials'!D77)/'Historical Financials'!D77,"-")</f>
        <v>-0.5855855855855856</v>
      </c>
      <c r="F67" s="86">
        <f>IFERROR(('Historical Financials'!F77-'Historical Financials'!E77)/'Historical Financials'!E77,"-")</f>
        <v>0.19565217391304349</v>
      </c>
      <c r="G67" s="86">
        <f>IFERROR(('Historical Financials'!G77-'Historical Financials'!F77)/'Historical Financials'!F77,"-")</f>
        <v>2.1454545454545455</v>
      </c>
      <c r="H67" s="86">
        <f>IFERROR(('Historical Financials'!H77-'Historical Financials'!G77)/'Historical Financials'!G77,"-")</f>
        <v>-0.78901734104046239</v>
      </c>
      <c r="I67" s="86">
        <f>IFERROR(('Historical Financials'!I77-'Historical Financials'!H77)/'Historical Financials'!H77,"-")</f>
        <v>0.86301369863013699</v>
      </c>
      <c r="J67" s="86">
        <f>IFERROR(('Historical Financials'!J77-'Historical Financials'!I77)/'Historical Financials'!I77,"-")</f>
        <v>-0.25</v>
      </c>
      <c r="K67" s="86">
        <f>IFERROR(('Historical Financials'!K77-'Historical Financials'!J77)/'Historical Financials'!J77,"-")</f>
        <v>0.27450980392156865</v>
      </c>
      <c r="L67" s="86">
        <f>IFERROR(('Historical Financials'!L77-'Historical Financials'!K77)/'Historical Financials'!K77,"-")</f>
        <v>0.43076923076923079</v>
      </c>
    </row>
    <row r="68" spans="2:12" x14ac:dyDescent="0.25">
      <c r="B68" t="s">
        <v>103</v>
      </c>
      <c r="D68" s="86">
        <f>IFERROR(('Historical Financials'!D78-'Historical Financials'!C78)/'Historical Financials'!C78,"-")</f>
        <v>0.49586776859504134</v>
      </c>
      <c r="E68" s="86">
        <f>IFERROR(('Historical Financials'!E78-'Historical Financials'!D78)/'Historical Financials'!D78,"-")</f>
        <v>1.0856353591160222</v>
      </c>
      <c r="F68" s="86">
        <f>IFERROR(('Historical Financials'!F78-'Historical Financials'!E78)/'Historical Financials'!E78,"-")</f>
        <v>0.4</v>
      </c>
      <c r="G68" s="86">
        <f>IFERROR(('Historical Financials'!G78-'Historical Financials'!F78)/'Historical Financials'!F78,"-")</f>
        <v>1.1438032166508987</v>
      </c>
      <c r="H68" s="86">
        <f>IFERROR(('Historical Financials'!H78-'Historical Financials'!G78)/'Historical Financials'!G78,"-")</f>
        <v>6.6637246248896734E-2</v>
      </c>
      <c r="I68" s="86">
        <f>IFERROR(('Historical Financials'!I78-'Historical Financials'!H78)/'Historical Financials'!H78,"-")</f>
        <v>0</v>
      </c>
      <c r="J68" s="86">
        <f>IFERROR(('Historical Financials'!J78-'Historical Financials'!I78)/'Historical Financials'!I78,"-")</f>
        <v>-0.25031030202730659</v>
      </c>
      <c r="K68" s="86">
        <f>IFERROR(('Historical Financials'!K78-'Historical Financials'!J78)/'Historical Financials'!J78,"-")</f>
        <v>-0.25</v>
      </c>
      <c r="L68" s="86">
        <f>IFERROR(('Historical Financials'!L78-'Historical Financials'!K78)/'Historical Financials'!K78,"-")</f>
        <v>0.33333333333333331</v>
      </c>
    </row>
    <row r="69" spans="2:12" x14ac:dyDescent="0.25">
      <c r="B69" t="s">
        <v>104</v>
      </c>
      <c r="D69" s="86" t="str">
        <f>IFERROR(('Historical Financials'!D79-'Historical Financials'!C79)/'Historical Financials'!C79,"-")</f>
        <v>-</v>
      </c>
      <c r="E69" s="86" t="str">
        <f>IFERROR(('Historical Financials'!E79-'Historical Financials'!D79)/'Historical Financials'!D79,"-")</f>
        <v>-</v>
      </c>
      <c r="F69" s="86" t="str">
        <f>IFERROR(('Historical Financials'!F79-'Historical Financials'!E79)/'Historical Financials'!E79,"-")</f>
        <v>-</v>
      </c>
      <c r="G69" s="86" t="str">
        <f>IFERROR(('Historical Financials'!G79-'Historical Financials'!F79)/'Historical Financials'!F79,"-")</f>
        <v>-</v>
      </c>
      <c r="H69" s="86" t="str">
        <f>IFERROR(('Historical Financials'!H79-'Historical Financials'!G79)/'Historical Financials'!G79,"-")</f>
        <v>-</v>
      </c>
      <c r="I69" s="86" t="str">
        <f>IFERROR(('Historical Financials'!I79-'Historical Financials'!H79)/'Historical Financials'!H79,"-")</f>
        <v>-</v>
      </c>
      <c r="J69" s="86">
        <f>IFERROR(('Historical Financials'!J79-'Historical Financials'!I79)/'Historical Financials'!I79,"-")</f>
        <v>0.1</v>
      </c>
      <c r="K69" s="86">
        <f>IFERROR(('Historical Financials'!K79-'Historical Financials'!J79)/'Historical Financials'!J79,"-")</f>
        <v>-0.27272727272727271</v>
      </c>
      <c r="L69" s="86">
        <f>IFERROR(('Historical Financials'!L79-'Historical Financials'!K79)/'Historical Financials'!K79,"-")</f>
        <v>4.875</v>
      </c>
    </row>
    <row r="70" spans="2:12" x14ac:dyDescent="0.25">
      <c r="B70" t="s">
        <v>105</v>
      </c>
      <c r="D70" s="86">
        <f>IFERROR(('Historical Financials'!D80-'Historical Financials'!C80)/'Historical Financials'!C80,"-")</f>
        <v>0.51219512195121952</v>
      </c>
      <c r="E70" s="86">
        <f>IFERROR(('Historical Financials'!E80-'Historical Financials'!D80)/'Historical Financials'!D80,"-")</f>
        <v>1.4838709677419355</v>
      </c>
      <c r="F70" s="86">
        <f>IFERROR(('Historical Financials'!F80-'Historical Financials'!E80)/'Historical Financials'!E80,"-")</f>
        <v>0.39610389610389612</v>
      </c>
      <c r="G70" s="86">
        <f>IFERROR(('Historical Financials'!G80-'Historical Financials'!F80)/'Historical Financials'!F80,"-")</f>
        <v>1.1441860465116278</v>
      </c>
      <c r="H70" s="86">
        <f>IFERROR(('Historical Financials'!H80-'Historical Financials'!G80)/'Historical Financials'!G80,"-")</f>
        <v>7.8091106290672452E-2</v>
      </c>
      <c r="I70" s="86">
        <f>IFERROR(('Historical Financials'!I80-'Historical Financials'!H80)/'Historical Financials'!H80,"-")</f>
        <v>0</v>
      </c>
      <c r="J70" s="86">
        <f>IFERROR(('Historical Financials'!J80-'Historical Financials'!I80)/'Historical Financials'!I80,"-")</f>
        <v>-1</v>
      </c>
      <c r="K70" s="86" t="str">
        <f>IFERROR(('Historical Financials'!K80-'Historical Financials'!J80)/'Historical Financials'!J80,"-")</f>
        <v>-</v>
      </c>
      <c r="L70" s="86" t="str">
        <f>IFERROR(('Historical Financials'!L80-'Historical Financials'!K80)/'Historical Financials'!K80,"-")</f>
        <v>-</v>
      </c>
    </row>
    <row r="71" spans="2:12" x14ac:dyDescent="0.25">
      <c r="B71" s="32" t="s">
        <v>118</v>
      </c>
      <c r="C71" s="58"/>
      <c r="D71" s="101">
        <f>IFERROR(('Historical Financials'!D81-'Historical Financials'!C81)/'Historical Financials'!C81,"-")</f>
        <v>26.067567567567568</v>
      </c>
      <c r="E71" s="101">
        <f>IFERROR(('Historical Financials'!E81-'Historical Financials'!D81)/'Historical Financials'!D81,"-")</f>
        <v>-0.38242636045931105</v>
      </c>
      <c r="F71" s="101">
        <f>IFERROR(('Historical Financials'!F81-'Historical Financials'!E81)/'Historical Financials'!E81,"-")</f>
        <v>-8.730800323362975E-2</v>
      </c>
      <c r="G71" s="101">
        <f>IFERROR(('Historical Financials'!G81-'Historical Financials'!F81)/'Historical Financials'!F81,"-")</f>
        <v>2.0434012400354296</v>
      </c>
      <c r="H71" s="101">
        <f>IFERROR(('Historical Financials'!H81-'Historical Financials'!G81)/'Historical Financials'!G81,"-")</f>
        <v>-0.1420256111757858</v>
      </c>
      <c r="I71" s="101">
        <f>IFERROR(('Historical Financials'!I81-'Historical Financials'!H81)/'Historical Financials'!H81,"-")</f>
        <v>5.3595658073270012E-2</v>
      </c>
      <c r="J71" s="101">
        <f>IFERROR(('Historical Financials'!J81-'Historical Financials'!I81)/'Historical Financials'!I81,"-")</f>
        <v>-0.50257566001287834</v>
      </c>
      <c r="K71" s="101">
        <f>IFERROR(('Historical Financials'!K81-'Historical Financials'!J81)/'Historical Financials'!J81,"-")</f>
        <v>4.0129449838187704E-2</v>
      </c>
      <c r="L71" s="101">
        <f>IFERROR(('Historical Financials'!L81-'Historical Financials'!K81)/'Historical Financials'!K81,"-")</f>
        <v>-0.24455507156191661</v>
      </c>
    </row>
    <row r="73" spans="2:12" ht="15.75" thickBot="1" x14ac:dyDescent="0.3">
      <c r="B73" s="30" t="s">
        <v>64</v>
      </c>
      <c r="C73" s="60"/>
      <c r="D73" s="102">
        <f>IFERROR(('Historical Financials'!D83-'Historical Financials'!C83)/'Historical Financials'!C83,"-")</f>
        <v>5.2631578947368418E-2</v>
      </c>
      <c r="E73" s="102">
        <f>IFERROR(('Historical Financials'!E83-'Historical Financials'!D83)/'Historical Financials'!D83,"-")</f>
        <v>1.1057142857142856</v>
      </c>
      <c r="F73" s="102">
        <f>IFERROR(('Historical Financials'!F83-'Historical Financials'!E83)/'Historical Financials'!E83,"-")</f>
        <v>0.47354138398914519</v>
      </c>
      <c r="G73" s="102">
        <f>IFERROR(('Historical Financials'!G83-'Historical Financials'!F83)/'Historical Financials'!F83,"-")</f>
        <v>0.31583793738489874</v>
      </c>
      <c r="H73" s="102">
        <f>IFERROR(('Historical Financials'!H83-'Historical Financials'!G83)/'Historical Financials'!G83,"-")</f>
        <v>-1.4205738278516444</v>
      </c>
      <c r="I73" s="102">
        <f>IFERROR(('Historical Financials'!I83-'Historical Financials'!H83)/'Historical Financials'!H83,"-")</f>
        <v>1.2770382695507487</v>
      </c>
      <c r="J73" s="102">
        <f>IFERROR(('Historical Financials'!J83-'Historical Financials'!I83)/'Historical Financials'!I83,"-")</f>
        <v>-2.5915235659481182</v>
      </c>
      <c r="K73" s="102">
        <f>IFERROR(('Historical Financials'!K83-'Historical Financials'!J83)/'Historical Financials'!J83,"-")</f>
        <v>-1.6469237832874197</v>
      </c>
      <c r="L73" s="102">
        <f>IFERROR(('Historical Financials'!L83-'Historical Financials'!K83)/'Historical Financials'!K83,"-")</f>
        <v>-1.2420156139105749</v>
      </c>
    </row>
    <row r="74" spans="2:12" ht="15.75" thickTop="1" x14ac:dyDescent="0.25"/>
  </sheetData>
  <mergeCells count="1">
    <mergeCell ref="C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0"/>
  <sheetViews>
    <sheetView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5" x14ac:dyDescent="0.25"/>
  <cols>
    <col min="1" max="1" width="1.85546875" customWidth="1"/>
    <col min="2" max="2" width="28.7109375" customWidth="1"/>
    <col min="3" max="12" width="11.7109375" style="90" customWidth="1"/>
  </cols>
  <sheetData>
    <row r="2" spans="2:12" x14ac:dyDescent="0.25">
      <c r="B2" s="167" t="str">
        <f>"Common Size Statement"&amp;" - "&amp;'Historical Financials'!B1</f>
        <v>Common Size Statement - MARUTI SUZUKI LTD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spans="2:12" x14ac:dyDescent="0.25">
      <c r="B3" s="2" t="s">
        <v>120</v>
      </c>
      <c r="C3" s="121">
        <v>2016</v>
      </c>
      <c r="D3" s="121">
        <f>C3+1</f>
        <v>2017</v>
      </c>
      <c r="E3" s="121">
        <f t="shared" ref="E3:L3" si="0">D3+1</f>
        <v>2018</v>
      </c>
      <c r="F3" s="121">
        <f t="shared" si="0"/>
        <v>2019</v>
      </c>
      <c r="G3" s="121">
        <f t="shared" si="0"/>
        <v>2020</v>
      </c>
      <c r="H3" s="121">
        <f t="shared" si="0"/>
        <v>2021</v>
      </c>
      <c r="I3" s="121">
        <f t="shared" si="0"/>
        <v>2022</v>
      </c>
      <c r="J3" s="121">
        <f t="shared" si="0"/>
        <v>2023</v>
      </c>
      <c r="K3" s="121">
        <f t="shared" si="0"/>
        <v>2024</v>
      </c>
      <c r="L3" s="121">
        <f t="shared" si="0"/>
        <v>2025</v>
      </c>
    </row>
    <row r="4" spans="2:12" s="63" customFormat="1" x14ac:dyDescent="0.25"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2:12" x14ac:dyDescent="0.25">
      <c r="B5" s="51" t="s">
        <v>121</v>
      </c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2:12" x14ac:dyDescent="0.25">
      <c r="B6" t="s">
        <v>30</v>
      </c>
      <c r="C6" s="96">
        <f>'Historical Financials'!C7/'Historical Financials'!C$7</f>
        <v>1</v>
      </c>
      <c r="D6" s="96">
        <f>'Historical Financials'!D7/'Historical Financials'!D$7</f>
        <v>1</v>
      </c>
      <c r="E6" s="96">
        <f>'Historical Financials'!E7/'Historical Financials'!E$7</f>
        <v>1</v>
      </c>
      <c r="F6" s="96">
        <f>'Historical Financials'!F7/'Historical Financials'!F$7</f>
        <v>1</v>
      </c>
      <c r="G6" s="96">
        <f>'Historical Financials'!G7/'Historical Financials'!G$7</f>
        <v>1</v>
      </c>
      <c r="H6" s="96">
        <f>'Historical Financials'!H7/'Historical Financials'!H$7</f>
        <v>1</v>
      </c>
      <c r="I6" s="96">
        <f>'Historical Financials'!I7/'Historical Financials'!I$7</f>
        <v>1</v>
      </c>
      <c r="J6" s="96">
        <f>'Historical Financials'!J7/'Historical Financials'!J$7</f>
        <v>1</v>
      </c>
      <c r="K6" s="96">
        <f>'Historical Financials'!K7/'Historical Financials'!K$7</f>
        <v>1</v>
      </c>
      <c r="L6" s="96">
        <f>'Historical Financials'!L7/'Historical Financials'!L$7</f>
        <v>1</v>
      </c>
    </row>
    <row r="7" spans="2:12" x14ac:dyDescent="0.25">
      <c r="B7" t="s">
        <v>2</v>
      </c>
      <c r="C7" s="88">
        <f>'Historical Financials'!C8/'Historical Financials'!C$7</f>
        <v>0.72632273524457802</v>
      </c>
      <c r="D7" s="88">
        <f>'Historical Financials'!D8/'Historical Financials'!D$7</f>
        <v>0.7344348975545274</v>
      </c>
      <c r="E7" s="88">
        <f>'Historical Financials'!E8/'Historical Financials'!E$7</f>
        <v>0.7390733422378819</v>
      </c>
      <c r="F7" s="88">
        <f>'Historical Financials'!F8/'Historical Financials'!F$7</f>
        <v>0.74571068393198436</v>
      </c>
      <c r="G7" s="88">
        <f>'Historical Financials'!G8/'Historical Financials'!G$7</f>
        <v>0.76205524715833994</v>
      </c>
      <c r="H7" s="88">
        <f>'Historical Financials'!H8/'Historical Financials'!H$7</f>
        <v>0.78746660603649177</v>
      </c>
      <c r="I7" s="88">
        <f>'Historical Financials'!I8/'Historical Financials'!I$7</f>
        <v>0.81035845207393187</v>
      </c>
      <c r="J7" s="88">
        <f>'Historical Financials'!J8/'Historical Financials'!J$7</f>
        <v>0.78313215364593669</v>
      </c>
      <c r="K7" s="88">
        <f>'Historical Financials'!K8/'Historical Financials'!K$7</f>
        <v>0.76143078087837002</v>
      </c>
      <c r="L7" s="88">
        <f>'Historical Financials'!L8/'Historical Financials'!L$7</f>
        <v>0.74890166303715189</v>
      </c>
    </row>
    <row r="8" spans="2:12" x14ac:dyDescent="0.25">
      <c r="B8" t="s">
        <v>6</v>
      </c>
      <c r="C8" s="88">
        <f>'Historical Financials'!C9/'Historical Financials'!C$7</f>
        <v>0.27367726475542198</v>
      </c>
      <c r="D8" s="88">
        <f>'Historical Financials'!D9/'Historical Financials'!D$7</f>
        <v>0.26556510244547255</v>
      </c>
      <c r="E8" s="88">
        <f>'Historical Financials'!E9/'Historical Financials'!E$7</f>
        <v>0.2609266577621181</v>
      </c>
      <c r="F8" s="88">
        <f>'Historical Financials'!F9/'Historical Financials'!F$7</f>
        <v>0.25428931606801564</v>
      </c>
      <c r="G8" s="88">
        <f>'Historical Financials'!G9/'Historical Financials'!G$7</f>
        <v>0.23794475284166008</v>
      </c>
      <c r="H8" s="88">
        <f>'Historical Financials'!H9/'Historical Financials'!H$7</f>
        <v>0.21253339396350823</v>
      </c>
      <c r="I8" s="88">
        <f>'Historical Financials'!I9/'Historical Financials'!I$7</f>
        <v>0.18964154792606813</v>
      </c>
      <c r="J8" s="88">
        <f>'Historical Financials'!J9/'Historical Financials'!J$7</f>
        <v>0.21686784635406334</v>
      </c>
      <c r="K8" s="88">
        <f>'Historical Financials'!K9/'Historical Financials'!K$7</f>
        <v>0.23856921912162998</v>
      </c>
      <c r="L8" s="88">
        <f>'Historical Financials'!L9/'Historical Financials'!L$7</f>
        <v>0.25109833696284811</v>
      </c>
    </row>
    <row r="9" spans="2:12" x14ac:dyDescent="0.25">
      <c r="B9" t="s">
        <v>122</v>
      </c>
      <c r="C9" s="88">
        <f>'Historical Financials'!C10/'Historical Financials'!C$7</f>
        <v>0.11697893694976473</v>
      </c>
      <c r="D9" s="88">
        <f>'Historical Financials'!D10/'Historical Financials'!D$7</f>
        <v>0.11250201953440553</v>
      </c>
      <c r="E9" s="88">
        <f>'Historical Financials'!E10/'Historical Financials'!E$7</f>
        <v>0.10909115968795656</v>
      </c>
      <c r="F9" s="88">
        <f>'Historical Financials'!F10/'Historical Financials'!F$7</f>
        <v>0.12583000749403092</v>
      </c>
      <c r="G9" s="88">
        <f>'Historical Financials'!G10/'Historical Financials'!G$7</f>
        <v>0.14073354480570974</v>
      </c>
      <c r="H9" s="88">
        <f>'Historical Financials'!H10/'Historical Financials'!H$7</f>
        <v>0.13564770079008695</v>
      </c>
      <c r="I9" s="88">
        <f>'Historical Financials'!I10/'Historical Financials'!I$7</f>
        <v>0.12452196201055589</v>
      </c>
      <c r="J9" s="88">
        <f>'Historical Financials'!J10/'Historical Financials'!J$7</f>
        <v>0.10605363233986348</v>
      </c>
      <c r="K9" s="88">
        <f>'Historical Financials'!K10/'Historical Financials'!K$7</f>
        <v>0.10726697504973276</v>
      </c>
      <c r="L9" s="88">
        <f>'Historical Financials'!L10/'Historical Financials'!L$7</f>
        <v>0.1192828601884732</v>
      </c>
    </row>
    <row r="10" spans="2:12" x14ac:dyDescent="0.25">
      <c r="B10" t="s">
        <v>3</v>
      </c>
      <c r="C10" s="88">
        <f>'Historical Financials'!C11/'Historical Financials'!C$7</f>
        <v>0.15669832780565723</v>
      </c>
      <c r="D10" s="88">
        <f>'Historical Financials'!D11/'Historical Financials'!D$7</f>
        <v>0.15306308291106704</v>
      </c>
      <c r="E10" s="88">
        <f>'Historical Financials'!E11/'Historical Financials'!E$7</f>
        <v>0.15183549807416152</v>
      </c>
      <c r="F10" s="88">
        <f>'Historical Financials'!F11/'Historical Financials'!F$7</f>
        <v>0.12845930857398472</v>
      </c>
      <c r="G10" s="88">
        <f>'Historical Financials'!G11/'Historical Financials'!G$7</f>
        <v>9.7211208035950333E-2</v>
      </c>
      <c r="H10" s="88">
        <f>'Historical Financials'!H11/'Historical Financials'!H$7</f>
        <v>7.6885693173421282E-2</v>
      </c>
      <c r="I10" s="88">
        <f>'Historical Financials'!I11/'Historical Financials'!I$7</f>
        <v>6.5119585915512257E-2</v>
      </c>
      <c r="J10" s="88">
        <f>'Historical Financials'!J11/'Historical Financials'!J$7</f>
        <v>0.11081421401419986</v>
      </c>
      <c r="K10" s="88">
        <f>'Historical Financials'!K11/'Historical Financials'!K$7</f>
        <v>0.13130224407189722</v>
      </c>
      <c r="L10" s="88">
        <f>'Historical Financials'!L11/'Historical Financials'!L$7</f>
        <v>0.13181547677437494</v>
      </c>
    </row>
    <row r="11" spans="2:12" x14ac:dyDescent="0.25">
      <c r="B11" t="s">
        <v>4</v>
      </c>
      <c r="C11" s="88">
        <f>'Historical Financials'!C12/'Historical Financials'!C$7</f>
        <v>4.8998940769938708E-2</v>
      </c>
      <c r="D11" s="88">
        <f>'Historical Financials'!D12/'Historical Financials'!D$7</f>
        <v>3.8244841007564076E-2</v>
      </c>
      <c r="E11" s="88">
        <f>'Historical Financials'!E12/'Historical Financials'!E$7</f>
        <v>3.4579886579776321E-2</v>
      </c>
      <c r="F11" s="88">
        <f>'Historical Financials'!F12/'Historical Financials'!F$7</f>
        <v>3.5097625728344288E-2</v>
      </c>
      <c r="G11" s="88">
        <f>'Historical Financials'!G12/'Historical Financials'!G$7</f>
        <v>4.663494581020354E-2</v>
      </c>
      <c r="H11" s="88">
        <f>'Historical Financials'!H12/'Historical Financials'!H$7</f>
        <v>4.3115159438413E-2</v>
      </c>
      <c r="I11" s="88">
        <f>'Historical Financials'!I12/'Historical Financials'!I$7</f>
        <v>3.1574847899576361E-2</v>
      </c>
      <c r="J11" s="88">
        <f>'Historical Financials'!J12/'Historical Financials'!J$7</f>
        <v>4.092563206285961E-2</v>
      </c>
      <c r="K11" s="88">
        <f>'Historical Financials'!K12/'Historical Financials'!K$7</f>
        <v>3.7049673547246476E-2</v>
      </c>
      <c r="L11" s="88">
        <f>'Historical Financials'!L12/'Historical Financials'!L$7</f>
        <v>3.6675756802887913E-2</v>
      </c>
    </row>
    <row r="12" spans="2:12" x14ac:dyDescent="0.25">
      <c r="B12" t="s">
        <v>123</v>
      </c>
      <c r="C12" s="88">
        <f>'Historical Financials'!C13/'Historical Financials'!C$7</f>
        <v>0.10769938703571853</v>
      </c>
      <c r="D12" s="88">
        <f>'Historical Financials'!D13/'Historical Financials'!D$7</f>
        <v>0.11481824190350297</v>
      </c>
      <c r="E12" s="88">
        <f>'Historical Financials'!E13/'Historical Financials'!E$7</f>
        <v>0.11725561149438522</v>
      </c>
      <c r="F12" s="88">
        <f>'Historical Financials'!F13/'Historical Financials'!F$7</f>
        <v>9.336168284564042E-2</v>
      </c>
      <c r="G12" s="88">
        <f>'Historical Financials'!G13/'Historical Financials'!G$7</f>
        <v>5.0576262225746786E-2</v>
      </c>
      <c r="H12" s="88">
        <f>'Historical Financials'!H13/'Historical Financials'!H$7</f>
        <v>3.3770533735008275E-2</v>
      </c>
      <c r="I12" s="88">
        <f>'Historical Financials'!I13/'Historical Financials'!I$7</f>
        <v>3.3544738015935896E-2</v>
      </c>
      <c r="J12" s="88">
        <f>'Historical Financials'!J13/'Historical Financials'!J$7</f>
        <v>6.9888581951340248E-2</v>
      </c>
      <c r="K12" s="88">
        <f>'Historical Financials'!K13/'Historical Financials'!K$7</f>
        <v>9.4252570524650761E-2</v>
      </c>
      <c r="L12" s="88">
        <f>'Historical Financials'!L13/'Historical Financials'!L$7</f>
        <v>9.5139719971487027E-2</v>
      </c>
    </row>
    <row r="13" spans="2:12" x14ac:dyDescent="0.25">
      <c r="B13" t="s">
        <v>5</v>
      </c>
      <c r="C13" s="88">
        <f>'Historical Financials'!C14/'Historical Financials'!C$7</f>
        <v>1.418673705047839E-3</v>
      </c>
      <c r="D13" s="88">
        <f>'Historical Financials'!D14/'Historical Financials'!D$7</f>
        <v>1.313064551663362E-3</v>
      </c>
      <c r="E13" s="88">
        <f>'Historical Financials'!E14/'Historical Financials'!E$7</f>
        <v>4.3328229506799957E-3</v>
      </c>
      <c r="F13" s="88">
        <f>'Historical Financials'!F14/'Historical Financials'!F$7</f>
        <v>8.8185573119085381E-4</v>
      </c>
      <c r="G13" s="88">
        <f>'Historical Financials'!G14/'Historical Financials'!G$7</f>
        <v>1.7737245572297118E-3</v>
      </c>
      <c r="H13" s="88">
        <f>'Historical Financials'!H14/'Historical Financials'!H$7</f>
        <v>1.4465980787813333E-3</v>
      </c>
      <c r="I13" s="88">
        <f>'Historical Financials'!I14/'Historical Financials'!I$7</f>
        <v>1.4332648777649218E-3</v>
      </c>
      <c r="J13" s="88">
        <f>'Historical Financials'!J14/'Historical Financials'!J$7</f>
        <v>2.1307340011265954E-3</v>
      </c>
      <c r="K13" s="88">
        <f>'Historical Financials'!K14/'Historical Financials'!K$7</f>
        <v>1.3647431026193762E-3</v>
      </c>
      <c r="L13" s="88">
        <f>'Historical Financials'!L14/'Historical Financials'!L$7</f>
        <v>1.2700032044365096E-3</v>
      </c>
    </row>
    <row r="14" spans="2:12" x14ac:dyDescent="0.25">
      <c r="B14" t="s">
        <v>7</v>
      </c>
      <c r="C14" s="88">
        <f>'Historical Financials'!C15/'Historical Financials'!C$7</f>
        <v>2.5423257913837712E-2</v>
      </c>
      <c r="D14" s="88">
        <f>'Historical Financials'!D15/'Historical Financials'!D$7</f>
        <v>3.5238305059851656E-2</v>
      </c>
      <c r="E14" s="88">
        <f>'Historical Financials'!E15/'Historical Financials'!E$7</f>
        <v>2.6996819923467662E-2</v>
      </c>
      <c r="F14" s="88">
        <f>'Historical Financials'!F15/'Historical Financials'!F$7</f>
        <v>3.0954414216583299E-2</v>
      </c>
      <c r="G14" s="88">
        <f>'Historical Financials'!G15/'Historical Financials'!G$7</f>
        <v>4.5075337034099924E-2</v>
      </c>
      <c r="H14" s="88">
        <f>'Historical Financials'!H15/'Historical Financials'!H$7</f>
        <v>4.328852384471097E-2</v>
      </c>
      <c r="I14" s="88">
        <f>'Historical Financials'!I15/'Historical Financials'!I$7</f>
        <v>2.1066503037479988E-2</v>
      </c>
      <c r="J14" s="88">
        <f>'Historical Financials'!J15/'Historical Financials'!J$7</f>
        <v>2.0395254113042913E-2</v>
      </c>
      <c r="K14" s="88">
        <f>'Historical Financials'!K15/'Historical Financials'!K$7</f>
        <v>2.994257646015528E-2</v>
      </c>
      <c r="L14" s="88">
        <f>'Historical Financials'!L15/'Historical Financials'!L$7</f>
        <v>3.4438536945845026E-2</v>
      </c>
    </row>
    <row r="15" spans="2:12" x14ac:dyDescent="0.25">
      <c r="B15" t="s">
        <v>124</v>
      </c>
      <c r="C15" s="88">
        <f>'Historical Financials'!C16/'Historical Financials'!C$7</f>
        <v>8.085745541683298E-2</v>
      </c>
      <c r="D15" s="88">
        <f>'Historical Financials'!D16/'Historical Financials'!D$7</f>
        <v>7.8266872291987949E-2</v>
      </c>
      <c r="E15" s="88">
        <f>'Historical Financials'!E16/'Historical Financials'!E$7</f>
        <v>8.5925968620237575E-2</v>
      </c>
      <c r="F15" s="88">
        <f>'Historical Financials'!F16/'Historical Financials'!F$7</f>
        <v>6.1525412897866276E-2</v>
      </c>
      <c r="G15" s="88">
        <f>'Historical Financials'!G16/'Historical Financials'!G$7</f>
        <v>3.7272006344171533E-3</v>
      </c>
      <c r="H15" s="88">
        <f>'Historical Financials'!H16/'Historical Financials'!H$7</f>
        <v>-1.096458818848403E-2</v>
      </c>
      <c r="I15" s="88">
        <f>'Historical Financials'!I16/'Historical Financials'!I$7</f>
        <v>1.1044970100690986E-2</v>
      </c>
      <c r="J15" s="88">
        <f>'Historical Financials'!J16/'Historical Financials'!J$7</f>
        <v>4.7362593837170744E-2</v>
      </c>
      <c r="K15" s="88">
        <f>'Historical Financials'!K16/'Historical Financials'!K$7</f>
        <v>6.2945250961876101E-2</v>
      </c>
      <c r="L15" s="88">
        <f>'Historical Financials'!L16/'Historical Financials'!L$7</f>
        <v>5.9431179821205493E-2</v>
      </c>
    </row>
    <row r="16" spans="2:12" x14ac:dyDescent="0.25">
      <c r="B16" t="s">
        <v>9</v>
      </c>
      <c r="C16" s="88">
        <f>'Historical Financials'!C17/'Historical Financials'!C$7</f>
        <v>3.6248241851742517E-2</v>
      </c>
      <c r="D16" s="88">
        <f>'Historical Financials'!D17/'Historical Financials'!D$7</f>
        <v>3.8425497539839905E-2</v>
      </c>
      <c r="E16" s="88">
        <f>'Historical Financials'!E17/'Historical Financials'!E$7</f>
        <v>4.1175600869070558E-2</v>
      </c>
      <c r="F16" s="88">
        <f>'Historical Financials'!F17/'Historical Financials'!F$7</f>
        <v>3.454457786530496E-2</v>
      </c>
      <c r="G16" s="88">
        <f>'Historical Financials'!G17/'Historical Financials'!G$7</f>
        <v>1.8836901929685436E-2</v>
      </c>
      <c r="H16" s="88">
        <f>'Historical Financials'!H17/'Historical Financials'!H$7</f>
        <v>1.3242482805661343E-2</v>
      </c>
      <c r="I16" s="88">
        <f>'Historical Financials'!I17/'Historical Financials'!I$7</f>
        <v>9.2573514261325169E-3</v>
      </c>
      <c r="J16" s="88">
        <f>'Historical Financials'!J17/'Historical Financials'!J$7</f>
        <v>1.8364173941536985E-2</v>
      </c>
      <c r="K16" s="88">
        <f>'Historical Financials'!K17/'Historical Financials'!K$7</f>
        <v>2.7748131584920715E-2</v>
      </c>
      <c r="L16" s="88">
        <f>'Historical Financials'!L17/'Historical Financials'!L$7</f>
        <v>3.3481783759392598E-2</v>
      </c>
    </row>
    <row r="17" spans="2:12" x14ac:dyDescent="0.25">
      <c r="B17" t="s">
        <v>125</v>
      </c>
      <c r="C17" s="88">
        <f>'Historical Financials'!C18/'Historical Financials'!C$7</f>
        <v>4.4609213565090462E-2</v>
      </c>
      <c r="D17" s="88">
        <f>'Historical Financials'!D18/'Historical Financials'!D$7</f>
        <v>3.9841374752148044E-2</v>
      </c>
      <c r="E17" s="88">
        <f>'Historical Financials'!E18/'Historical Financials'!E$7</f>
        <v>4.475036775116701E-2</v>
      </c>
      <c r="F17" s="88">
        <f>'Historical Financials'!F18/'Historical Financials'!F$7</f>
        <v>2.6980835032561313E-2</v>
      </c>
      <c r="G17" s="88">
        <f>'Historical Financials'!G18/'Historical Financials'!G$7</f>
        <v>-1.5109701295268282E-2</v>
      </c>
      <c r="H17" s="88">
        <f>'Historical Financials'!H18/'Historical Financials'!H$7</f>
        <v>-2.4207070994145374E-2</v>
      </c>
      <c r="I17" s="88">
        <f>'Historical Financials'!I18/'Historical Financials'!I$7</f>
        <v>1.7876186745584689E-3</v>
      </c>
      <c r="J17" s="88">
        <f>'Historical Financials'!J18/'Historical Financials'!J$7</f>
        <v>2.8998419895633756E-2</v>
      </c>
      <c r="K17" s="88">
        <f>'Historical Financials'!K18/'Historical Financials'!K$7</f>
        <v>3.5197119376955389E-2</v>
      </c>
      <c r="L17" s="88">
        <f>'Historical Financials'!L18/'Historical Financials'!L$7</f>
        <v>2.5949396061812898E-2</v>
      </c>
    </row>
    <row r="19" spans="2:12" x14ac:dyDescent="0.25">
      <c r="B19" s="51" t="s">
        <v>72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</row>
    <row r="20" spans="2:12" x14ac:dyDescent="0.25">
      <c r="B20" s="32" t="s">
        <v>74</v>
      </c>
      <c r="C20" s="97">
        <f>IFERROR('Historical Financials'!C34/'Historical Financials'!C$47,"-")</f>
        <v>0.90458416080555215</v>
      </c>
      <c r="D20" s="97">
        <f>IFERROR('Historical Financials'!D34/'Historical Financials'!D$47,"-")</f>
        <v>0.92046455023268248</v>
      </c>
      <c r="E20" s="97">
        <f>IFERROR('Historical Financials'!E34/'Historical Financials'!E$47,"-")</f>
        <v>0.92764057399765976</v>
      </c>
      <c r="F20" s="97">
        <f>IFERROR('Historical Financials'!F34/'Historical Financials'!F$47,"-")</f>
        <v>0.91656338342988208</v>
      </c>
      <c r="G20" s="97">
        <f>IFERROR('Historical Financials'!G34/'Historical Financials'!G$47,"-")</f>
        <v>0.92417241965306329</v>
      </c>
      <c r="H20" s="97">
        <f>IFERROR('Historical Financials'!H34/'Historical Financials'!H$47,"-")</f>
        <v>0.90633900556302627</v>
      </c>
      <c r="I20" s="97">
        <f>IFERROR('Historical Financials'!I34/'Historical Financials'!I$47,"-")</f>
        <v>0.89660659704916257</v>
      </c>
      <c r="J20" s="97">
        <f>IFERROR('Historical Financials'!J34/'Historical Financials'!J$47,"-")</f>
        <v>0.89714543818581349</v>
      </c>
      <c r="K20" s="97">
        <f>IFERROR('Historical Financials'!K34/'Historical Financials'!K$47,"-")</f>
        <v>0.90048685476514767</v>
      </c>
      <c r="L20" s="97">
        <f>IFERROR('Historical Financials'!L34/'Historical Financials'!L$47,"-")</f>
        <v>0.9040551427068263</v>
      </c>
    </row>
    <row r="21" spans="2:12" x14ac:dyDescent="0.25">
      <c r="B21" t="s">
        <v>45</v>
      </c>
      <c r="C21" s="88">
        <f>'Historical Financials'!C30/'Historical Financials'!C$47</f>
        <v>3.1969715575391367E-3</v>
      </c>
      <c r="D21" s="88">
        <f>'Historical Financials'!D30/'Historical Financials'!D$47</f>
        <v>2.6749193538386862E-3</v>
      </c>
      <c r="E21" s="88">
        <f>'Historical Financials'!E30/'Historical Financials'!E$47</f>
        <v>2.3249368725749829E-3</v>
      </c>
      <c r="F21" s="88">
        <f>'Historical Financials'!F30/'Historical Financials'!F$47</f>
        <v>2.1635748561079434E-3</v>
      </c>
      <c r="G21" s="88">
        <f>'Historical Financials'!G30/'Historical Financials'!G$47</f>
        <v>2.1932277194934369E-3</v>
      </c>
      <c r="H21" s="88">
        <f>'Historical Financials'!H30/'Historical Financials'!H$47</f>
        <v>1.9174091865486759E-3</v>
      </c>
      <c r="I21" s="88">
        <f>'Historical Financials'!I30/'Historical Financials'!I$47</f>
        <v>1.8134979493061268E-3</v>
      </c>
      <c r="J21" s="88">
        <f>'Historical Financials'!J30/'Historical Financials'!J$47</f>
        <v>1.4088192803908843E-3</v>
      </c>
      <c r="K21" s="88">
        <f>'Historical Financials'!K30/'Historical Financials'!K$47</f>
        <v>1.2276799660123204E-3</v>
      </c>
      <c r="L21" s="88">
        <f>'Historical Financials'!L30/'Historical Financials'!L$47</f>
        <v>1.0768775483361833E-3</v>
      </c>
    </row>
    <row r="22" spans="2:12" x14ac:dyDescent="0.25">
      <c r="B22" t="s">
        <v>46</v>
      </c>
      <c r="C22" s="88">
        <f>'Historical Financials'!C31/'Historical Financials'!C$47</f>
        <v>0.64500489073132317</v>
      </c>
      <c r="D22" s="88">
        <f>'Historical Financials'!D31/'Historical Financials'!D$47</f>
        <v>0.65409926962301346</v>
      </c>
      <c r="E22" s="88">
        <f>'Historical Financials'!E31/'Historical Financials'!E$47</f>
        <v>0.65295929050933055</v>
      </c>
      <c r="F22" s="88">
        <f>'Historical Financials'!F31/'Historical Financials'!F$47</f>
        <v>0.67258664687449388</v>
      </c>
      <c r="G22" s="88">
        <f>'Historical Financials'!G31/'Historical Financials'!G$47</f>
        <v>0.71551512528268668</v>
      </c>
      <c r="H22" s="88">
        <f>'Historical Financials'!H31/'Historical Financials'!H$47</f>
        <v>0.66473909902085149</v>
      </c>
      <c r="I22" s="88">
        <f>'Historical Financials'!I31/'Historical Financials'!I$47</f>
        <v>0.66273742110983669</v>
      </c>
      <c r="J22" s="88">
        <f>'Historical Financials'!J31/'Historical Financials'!J$47</f>
        <v>0.66715479446653059</v>
      </c>
      <c r="K22" s="88">
        <f>'Historical Financials'!K31/'Historical Financials'!K$47</f>
        <v>0.66756113408889273</v>
      </c>
      <c r="L22" s="88">
        <f>'Historical Financials'!L31/'Historical Financials'!L$47</f>
        <v>0.65820166929720736</v>
      </c>
    </row>
    <row r="23" spans="2:12" x14ac:dyDescent="0.25">
      <c r="B23" t="s">
        <v>47</v>
      </c>
      <c r="C23" s="88">
        <f>'Historical Financials'!C32/'Historical Financials'!C$47</f>
        <v>4.8886141234158057E-3</v>
      </c>
      <c r="D23" s="88">
        <f>'Historical Financials'!D32/'Historical Financials'!D$47</f>
        <v>8.5668278113668131E-3</v>
      </c>
      <c r="E23" s="88">
        <f>'Historical Financials'!E32/'Historical Financials'!E$47</f>
        <v>1.8599494980599863E-3</v>
      </c>
      <c r="F23" s="88">
        <f>'Historical Financials'!F32/'Historical Financials'!F$47</f>
        <v>2.2867983247339585E-3</v>
      </c>
      <c r="G23" s="88">
        <f>'Historical Financials'!G32/'Historical Financials'!G$47</f>
        <v>2.6739948553559053E-3</v>
      </c>
      <c r="H23" s="88">
        <f>'Historical Financials'!H32/'Historical Financials'!H$47</f>
        <v>6.8683882715508534E-3</v>
      </c>
      <c r="I23" s="88">
        <f>'Historical Financials'!I32/'Historical Financials'!I$47</f>
        <v>5.110221042581172E-3</v>
      </c>
      <c r="J23" s="88">
        <f>'Historical Financials'!J32/'Historical Financials'!J$47</f>
        <v>1.1180934696028417E-2</v>
      </c>
      <c r="K23" s="88">
        <f>'Historical Financials'!K32/'Historical Financials'!K$47</f>
        <v>9.2622674280573277E-4</v>
      </c>
      <c r="L23" s="88">
        <f>'Historical Financials'!L32/'Historical Financials'!L$47</f>
        <v>5.9598184927002506E-4</v>
      </c>
    </row>
    <row r="24" spans="2:12" x14ac:dyDescent="0.25">
      <c r="B24" t="s">
        <v>48</v>
      </c>
      <c r="C24" s="88">
        <f>'Historical Financials'!C33/'Historical Financials'!C$47</f>
        <v>0.25149368439327413</v>
      </c>
      <c r="D24" s="88">
        <f>'Historical Financials'!D33/'Historical Financials'!D$47</f>
        <v>0.25512353344446353</v>
      </c>
      <c r="E24" s="88">
        <f>'Historical Financials'!E33/'Historical Financials'!E$47</f>
        <v>0.27049639711769419</v>
      </c>
      <c r="F24" s="88">
        <f>'Historical Financials'!F33/'Historical Financials'!F$47</f>
        <v>0.2395263633745463</v>
      </c>
      <c r="G24" s="88">
        <f>'Historical Financials'!G33/'Historical Financials'!G$47</f>
        <v>0.20379007179552727</v>
      </c>
      <c r="H24" s="88">
        <f>'Historical Financials'!H33/'Historical Financials'!H$47</f>
        <v>0.23281410908407518</v>
      </c>
      <c r="I24" s="88">
        <f>'Historical Financials'!I33/'Historical Financials'!I$47</f>
        <v>0.22694545694743859</v>
      </c>
      <c r="J24" s="88">
        <f>'Historical Financials'!J33/'Historical Financials'!J$47</f>
        <v>0.21740088974286356</v>
      </c>
      <c r="K24" s="88">
        <f>'Historical Financials'!K33/'Historical Financials'!K$47</f>
        <v>0.23077181396743679</v>
      </c>
      <c r="L24" s="88">
        <f>'Historical Financials'!L33/'Historical Financials'!L$47</f>
        <v>0.24418061401201285</v>
      </c>
    </row>
    <row r="26" spans="2:12" x14ac:dyDescent="0.25">
      <c r="B26" s="32" t="s">
        <v>76</v>
      </c>
      <c r="C26" s="97">
        <f>'Historical Financials'!C47/'Historical Financials'!C47</f>
        <v>1</v>
      </c>
      <c r="D26" s="97">
        <f>'Historical Financials'!D47/'Historical Financials'!D47</f>
        <v>1</v>
      </c>
      <c r="E26" s="97">
        <f>'Historical Financials'!E47/'Historical Financials'!E47</f>
        <v>1</v>
      </c>
      <c r="F26" s="97">
        <f>'Historical Financials'!F47/'Historical Financials'!F47</f>
        <v>1</v>
      </c>
      <c r="G26" s="97">
        <f>'Historical Financials'!G47/'Historical Financials'!G47</f>
        <v>1</v>
      </c>
      <c r="H26" s="97">
        <f>'Historical Financials'!H47/'Historical Financials'!H47</f>
        <v>1</v>
      </c>
      <c r="I26" s="97">
        <f>'Historical Financials'!I47/'Historical Financials'!I47</f>
        <v>1</v>
      </c>
      <c r="J26" s="97">
        <f>'Historical Financials'!J47/'Historical Financials'!J47</f>
        <v>1</v>
      </c>
      <c r="K26" s="97">
        <f>'Historical Financials'!K47/'Historical Financials'!K47</f>
        <v>1</v>
      </c>
      <c r="L26" s="97">
        <f>'Historical Financials'!L47/'Historical Financials'!L47</f>
        <v>1</v>
      </c>
    </row>
    <row r="27" spans="2:12" x14ac:dyDescent="0.25">
      <c r="B27" t="s">
        <v>75</v>
      </c>
      <c r="C27" s="88">
        <f>'Historical Financials'!C36/'Historical Financials'!C$47</f>
        <v>0.26527665448571103</v>
      </c>
      <c r="D27" s="88">
        <f>'Historical Financials'!D36/'Historical Financials'!D$47</f>
        <v>0.23579502677576558</v>
      </c>
      <c r="E27" s="88">
        <f>'Historical Financials'!E36/'Historical Financials'!E$47</f>
        <v>0.20614645562603928</v>
      </c>
      <c r="F27" s="88">
        <f>'Historical Financials'!F36/'Historical Financials'!F$47</f>
        <v>0.22119042467678909</v>
      </c>
      <c r="G27" s="88">
        <f>'Historical Financials'!G36/'Historical Financials'!G$47</f>
        <v>0.22868248017743356</v>
      </c>
      <c r="H27" s="88">
        <f>'Historical Financials'!H36/'Historical Financials'!H$47</f>
        <v>0.19032762300941816</v>
      </c>
      <c r="I27" s="88">
        <f>'Historical Financials'!I36/'Historical Financials'!I$47</f>
        <v>0.16510277489206085</v>
      </c>
      <c r="J27" s="88">
        <f>'Historical Financials'!J36/'Historical Financials'!J$47</f>
        <v>0.25040956133024084</v>
      </c>
      <c r="K27" s="88">
        <f>'Historical Financials'!K36/'Historical Financials'!K$47</f>
        <v>0.21761486461157828</v>
      </c>
      <c r="L27" s="88">
        <f>'Historical Financials'!L36/'Historical Financials'!L$47</f>
        <v>0.2286960465167259</v>
      </c>
    </row>
    <row r="28" spans="2:12" x14ac:dyDescent="0.25">
      <c r="B28" t="s">
        <v>51</v>
      </c>
      <c r="C28" s="88">
        <f>'Historical Financials'!C37/'Historical Financials'!C$47</f>
        <v>2.1318083849577195E-2</v>
      </c>
      <c r="D28" s="88">
        <f>'Historical Financials'!D37/'Historical Financials'!D$47</f>
        <v>2.2184115939153554E-2</v>
      </c>
      <c r="E28" s="88">
        <f>'Historical Financials'!E37/'Historical Financials'!E$47</f>
        <v>3.2827800702100139E-2</v>
      </c>
      <c r="F28" s="88">
        <f>'Historical Financials'!F37/'Historical Financials'!F$47</f>
        <v>2.3024161829667912E-2</v>
      </c>
      <c r="G28" s="88">
        <f>'Historical Financials'!G37/'Historical Financials'!G$47</f>
        <v>2.0555336878325246E-2</v>
      </c>
      <c r="H28" s="88">
        <f>'Historical Financials'!H37/'Historical Financials'!H$47</f>
        <v>1.900647728758979E-2</v>
      </c>
      <c r="I28" s="88">
        <f>'Historical Financials'!I37/'Historical Financials'!I$47</f>
        <v>3.5267130649916829E-2</v>
      </c>
      <c r="J28" s="88">
        <f>'Historical Financials'!J37/'Historical Financials'!J$47</f>
        <v>3.7129378362973496E-2</v>
      </c>
      <c r="K28" s="88">
        <f>'Historical Financials'!K37/'Historical Financials'!K$47</f>
        <v>6.0406227742443364E-2</v>
      </c>
      <c r="L28" s="88">
        <f>'Historical Financials'!L37/'Historical Financials'!L$47</f>
        <v>5.1564075584199225E-2</v>
      </c>
    </row>
    <row r="29" spans="2:12" x14ac:dyDescent="0.25">
      <c r="B29" t="s">
        <v>52</v>
      </c>
      <c r="C29" s="88">
        <f>'Historical Financials'!C38/'Historical Financials'!C$47</f>
        <v>0.43774797701567997</v>
      </c>
      <c r="D29" s="88">
        <f>'Historical Financials'!D38/'Historical Financials'!D$47</f>
        <v>0.5163940669934437</v>
      </c>
      <c r="E29" s="88">
        <f>'Historical Financials'!E38/'Historical Financials'!E$47</f>
        <v>0.5561849479583667</v>
      </c>
      <c r="F29" s="88">
        <f>'Historical Financials'!F38/'Historical Financials'!F$47</f>
        <v>0.53736321836774747</v>
      </c>
      <c r="G29" s="88">
        <f>'Historical Financials'!G38/'Historical Financials'!G$47</f>
        <v>0.54450146190973481</v>
      </c>
      <c r="H29" s="88">
        <f>'Historical Financials'!H38/'Historical Financials'!H$47</f>
        <v>0.54531625188407673</v>
      </c>
      <c r="I29" s="88">
        <f>'Historical Financials'!I38/'Historical Financials'!I$47</f>
        <v>0.50483339238210756</v>
      </c>
      <c r="J29" s="88">
        <f>'Historical Financials'!J38/'Historical Financials'!J$47</f>
        <v>0.44078746903644644</v>
      </c>
      <c r="K29" s="88">
        <f>'Historical Financials'!K38/'Historical Financials'!K$47</f>
        <v>0.44746279473690787</v>
      </c>
      <c r="L29" s="88">
        <f>'Historical Financials'!L38/'Historical Financials'!L$47</f>
        <v>0.45394224867376914</v>
      </c>
    </row>
    <row r="30" spans="2:12" x14ac:dyDescent="0.25">
      <c r="B30" t="s">
        <v>53</v>
      </c>
      <c r="C30" s="88">
        <f>'Historical Financials'!C39/'Historical Financials'!C$47</f>
        <v>0.18024144545458398</v>
      </c>
      <c r="D30" s="88">
        <f>'Historical Financials'!D39/'Historical Financials'!D$47</f>
        <v>0.1460913405243196</v>
      </c>
      <c r="E30" s="88">
        <f>'Historical Financials'!E39/'Historical Financials'!E$47</f>
        <v>0.13248136971115354</v>
      </c>
      <c r="F30" s="88">
        <f>'Historical Financials'!F39/'Historical Financials'!F$47</f>
        <v>0.13498557855567764</v>
      </c>
      <c r="G30" s="88">
        <f>'Historical Financials'!G39/'Historical Financials'!G$47</f>
        <v>0.13043314068756962</v>
      </c>
      <c r="H30" s="88">
        <f>'Historical Financials'!H39/'Historical Financials'!H$47</f>
        <v>0.15168865338194154</v>
      </c>
      <c r="I30" s="88">
        <f>'Historical Financials'!I39/'Historical Financials'!I$47</f>
        <v>0.19140329912507731</v>
      </c>
      <c r="J30" s="88">
        <f>'Historical Financials'!J39/'Historical Financials'!J$47</f>
        <v>0.16881902945615271</v>
      </c>
      <c r="K30" s="88">
        <f>'Historical Financials'!K39/'Historical Financials'!K$47</f>
        <v>0.17500296767421808</v>
      </c>
      <c r="L30" s="88">
        <f>'Historical Financials'!L39/'Historical Financials'!L$47</f>
        <v>0.16985277193213208</v>
      </c>
    </row>
    <row r="31" spans="2:12" x14ac:dyDescent="0.25">
      <c r="B31" t="s">
        <v>54</v>
      </c>
      <c r="C31" s="88">
        <f>'Historical Financials'!C40/'Historical Financials'!C$47</f>
        <v>0.90458416080555215</v>
      </c>
      <c r="D31" s="88">
        <f>'Historical Financials'!D40/'Historical Financials'!D$47</f>
        <v>0.92046455023268248</v>
      </c>
      <c r="E31" s="88">
        <f>'Historical Financials'!E40/'Historical Financials'!E$47</f>
        <v>0.92764057399765965</v>
      </c>
      <c r="F31" s="88">
        <f>'Historical Financials'!F40/'Historical Financials'!F$47</f>
        <v>0.91656338342988219</v>
      </c>
      <c r="G31" s="88">
        <f>'Historical Financials'!G40/'Historical Financials'!G$47</f>
        <v>0.92417241965306329</v>
      </c>
      <c r="H31" s="88">
        <f>'Historical Financials'!H40/'Historical Financials'!H$47</f>
        <v>0.90633900556302627</v>
      </c>
      <c r="I31" s="88">
        <f>'Historical Financials'!I40/'Historical Financials'!I$47</f>
        <v>0.89660659704916257</v>
      </c>
      <c r="J31" s="88">
        <f>'Historical Financials'!J40/'Historical Financials'!J$47</f>
        <v>0.8971454381858136</v>
      </c>
      <c r="K31" s="88">
        <f>'Historical Financials'!K40/'Historical Financials'!K$47</f>
        <v>0.90048685476514767</v>
      </c>
      <c r="L31" s="88">
        <f>'Historical Financials'!L40/'Historical Financials'!L$47</f>
        <v>0.9040551427068263</v>
      </c>
    </row>
    <row r="32" spans="2:12" x14ac:dyDescent="0.25">
      <c r="B32" t="s">
        <v>55</v>
      </c>
      <c r="C32" s="88">
        <f>'Historical Financials'!C41/'Historical Financials'!C$47</f>
        <v>0</v>
      </c>
      <c r="D32" s="88">
        <f>'Historical Financials'!D41/'Historical Financials'!D$47</f>
        <v>0</v>
      </c>
      <c r="E32" s="88">
        <f>'Historical Financials'!E41/'Historical Financials'!E$47</f>
        <v>0</v>
      </c>
      <c r="F32" s="88">
        <f>'Historical Financials'!F41/'Historical Financials'!F$47</f>
        <v>0</v>
      </c>
      <c r="G32" s="88">
        <f>'Historical Financials'!G41/'Historical Financials'!G$47</f>
        <v>0</v>
      </c>
      <c r="H32" s="88">
        <f>'Historical Financials'!H41/'Historical Financials'!H$47</f>
        <v>0</v>
      </c>
      <c r="I32" s="88">
        <f>'Historical Financials'!I41/'Historical Financials'!I$47</f>
        <v>0</v>
      </c>
      <c r="J32" s="88">
        <f>'Historical Financials'!J41/'Historical Financials'!J$47</f>
        <v>0</v>
      </c>
      <c r="K32" s="88">
        <f>'Historical Financials'!K41/'Historical Financials'!K$47</f>
        <v>0</v>
      </c>
      <c r="L32" s="88">
        <f>'Historical Financials'!L41/'Historical Financials'!L$47</f>
        <v>0</v>
      </c>
    </row>
    <row r="33" spans="2:12" x14ac:dyDescent="0.25">
      <c r="B33" t="s">
        <v>56</v>
      </c>
      <c r="C33" s="88">
        <f>'Historical Financials'!C42/'Historical Financials'!C$47</f>
        <v>2.8019020922167508E-2</v>
      </c>
      <c r="D33" s="88">
        <f>'Historical Financials'!D42/'Historical Financials'!D$47</f>
        <v>2.1303695463088766E-2</v>
      </c>
      <c r="E33" s="88">
        <f>'Historical Financials'!E42/'Historical Financials'!E$47</f>
        <v>2.2562665517029009E-2</v>
      </c>
      <c r="F33" s="88">
        <f>'Historical Financials'!F42/'Historical Financials'!F$47</f>
        <v>3.3138516074214912E-2</v>
      </c>
      <c r="G33" s="88">
        <f>'Historical Financials'!G42/'Historical Financials'!G$47</f>
        <v>2.8725473250610398E-2</v>
      </c>
      <c r="H33" s="88">
        <f>'Historical Financials'!H42/'Historical Financials'!H$47</f>
        <v>1.6252265018964575E-2</v>
      </c>
      <c r="I33" s="88">
        <f>'Historical Financials'!I42/'Historical Financials'!I$47</f>
        <v>2.4434182634856392E-2</v>
      </c>
      <c r="J33" s="88">
        <f>'Historical Financials'!J42/'Historical Financials'!J$47</f>
        <v>2.9438228830966778E-2</v>
      </c>
      <c r="K33" s="88">
        <f>'Historical Financials'!K42/'Historical Financials'!K$47</f>
        <v>3.5899486436166889E-2</v>
      </c>
      <c r="L33" s="88">
        <f>'Historical Financials'!L42/'Historical Financials'!L$47</f>
        <v>4.4799339076680267E-2</v>
      </c>
    </row>
    <row r="35" spans="2:12" x14ac:dyDescent="0.25">
      <c r="B35" s="51" t="s">
        <v>79</v>
      </c>
      <c r="C35" s="95"/>
      <c r="D35" s="95"/>
      <c r="E35" s="95"/>
      <c r="F35" s="95"/>
      <c r="G35" s="95"/>
      <c r="H35" s="95"/>
      <c r="I35" s="95"/>
      <c r="J35" s="95"/>
      <c r="K35" s="95"/>
      <c r="L35" s="95"/>
    </row>
    <row r="36" spans="2:12" x14ac:dyDescent="0.25">
      <c r="B36" s="59" t="s">
        <v>30</v>
      </c>
      <c r="C36" s="97">
        <f>'Historical Financials'!C7/'Historical Financials'!C$7</f>
        <v>1</v>
      </c>
      <c r="D36" s="97">
        <f>'Historical Financials'!D7/'Historical Financials'!D$7</f>
        <v>1</v>
      </c>
      <c r="E36" s="97">
        <f>'Historical Financials'!E7/'Historical Financials'!E$7</f>
        <v>1</v>
      </c>
      <c r="F36" s="97">
        <f>'Historical Financials'!F7/'Historical Financials'!F$7</f>
        <v>1</v>
      </c>
      <c r="G36" s="97">
        <f>'Historical Financials'!G7/'Historical Financials'!G$7</f>
        <v>1</v>
      </c>
      <c r="H36" s="97">
        <f>'Historical Financials'!H7/'Historical Financials'!H$7</f>
        <v>1</v>
      </c>
      <c r="I36" s="97">
        <f>'Historical Financials'!I7/'Historical Financials'!I$7</f>
        <v>1</v>
      </c>
      <c r="J36" s="97">
        <f>'Historical Financials'!J7/'Historical Financials'!J$7</f>
        <v>1</v>
      </c>
      <c r="K36" s="97">
        <f>'Historical Financials'!K7/'Historical Financials'!K$7</f>
        <v>1</v>
      </c>
      <c r="L36" s="97">
        <f>'Historical Financials'!L7/'Historical Financials'!L$7</f>
        <v>1</v>
      </c>
    </row>
    <row r="37" spans="2:12" x14ac:dyDescent="0.25">
      <c r="B37" s="65" t="s">
        <v>113</v>
      </c>
      <c r="C37" s="88">
        <f>'Historical Financials'!C60/'Historical Financials'!C$7</f>
        <v>9.9602354616332975E-2</v>
      </c>
      <c r="D37" s="88">
        <f>'Historical Financials'!D60/'Historical Financials'!D$7</f>
        <v>0.1056767276198869</v>
      </c>
      <c r="E37" s="88">
        <f>'Historical Financials'!E60/'Historical Financials'!E$7</f>
        <v>0.12457179229514319</v>
      </c>
      <c r="F37" s="88">
        <f>'Historical Financials'!F60/'Historical Financials'!F$7</f>
        <v>0.14494269099612517</v>
      </c>
      <c r="G37" s="88">
        <f>'Historical Financials'!G60/'Historical Financials'!G$7</f>
        <v>0.1929288924134285</v>
      </c>
      <c r="H37" s="88">
        <f>'Historical Financials'!H60/'Historical Financials'!H$7</f>
        <v>7.5115102597624051E-2</v>
      </c>
      <c r="I37" s="88">
        <f>'Historical Financials'!I60/'Historical Financials'!I$7</f>
        <v>1.0472116997887462E-2</v>
      </c>
      <c r="J37" s="88">
        <f>'Historical Financials'!J60/'Historical Financials'!J$7</f>
        <v>0.11140960341998432</v>
      </c>
      <c r="K37" s="88">
        <f>'Historical Financials'!K60/'Historical Financials'!K$7</f>
        <v>-6.8519126846386036E-3</v>
      </c>
      <c r="L37" s="88">
        <f>'Historical Financials'!L60/'Historical Financials'!L$7</f>
        <v>7.0085604232472065E-2</v>
      </c>
    </row>
    <row r="38" spans="2:12" x14ac:dyDescent="0.25">
      <c r="B38" s="65" t="s">
        <v>116</v>
      </c>
      <c r="C38" s="88">
        <f>'Historical Financials'!C72/'Historical Financials'!C$7</f>
        <v>-8.6770042890135263E-2</v>
      </c>
      <c r="D38" s="88">
        <f>'Historical Financials'!D72/'Historical Financials'!D$7</f>
        <v>-6.5976353088051706E-2</v>
      </c>
      <c r="E38" s="88">
        <f>'Historical Financials'!E72/'Historical Financials'!E$7</f>
        <v>-9.0603362511182894E-2</v>
      </c>
      <c r="F38" s="88">
        <f>'Historical Financials'!F72/'Historical Financials'!F$7</f>
        <v>-0.1065895188135032</v>
      </c>
      <c r="G38" s="88">
        <f>'Historical Financials'!G72/'Historical Financials'!G$7</f>
        <v>-0.10974094633888448</v>
      </c>
      <c r="H38" s="88">
        <f>'Historical Financials'!H72/'Historical Financials'!H$7</f>
        <v>-5.0304098220883303E-2</v>
      </c>
      <c r="I38" s="88">
        <f>'Historical Financials'!I72/'Historical Financials'!I$7</f>
        <v>-6.2945914062977615E-3</v>
      </c>
      <c r="J38" s="88">
        <f>'Historical Financials'!J72/'Historical Financials'!J$7</f>
        <v>-6.1574243369853371E-2</v>
      </c>
      <c r="K38" s="88">
        <f>'Historical Financials'!K72/'Historical Financials'!K$7</f>
        <v>-1.6847809996179282E-3</v>
      </c>
      <c r="L38" s="88">
        <f>'Historical Financials'!L72/'Historical Financials'!L$7</f>
        <v>-5.7686396840033224E-2</v>
      </c>
    </row>
    <row r="39" spans="2:12" x14ac:dyDescent="0.25">
      <c r="B39" s="65" t="s">
        <v>118</v>
      </c>
      <c r="C39" s="88">
        <f>'Historical Financials'!C81/'Historical Financials'!C$7</f>
        <v>-1.284967615343208E-3</v>
      </c>
      <c r="D39" s="88">
        <f>'Historical Financials'!D81/'Historical Financials'!D$7</f>
        <v>-2.9419108467356979E-2</v>
      </c>
      <c r="E39" s="88">
        <f>'Historical Financials'!E81/'Historical Financials'!E$7</f>
        <v>-1.5499427385746542E-2</v>
      </c>
      <c r="F39" s="88">
        <f>'Historical Financials'!F81/'Historical Financials'!F$7</f>
        <v>-1.3117458768306639E-2</v>
      </c>
      <c r="G39" s="88">
        <f>'Historical Financials'!G81/'Historical Financials'!G$7</f>
        <v>-4.5413692836373247E-2</v>
      </c>
      <c r="H39" s="88">
        <f>'Historical Financials'!H81/'Historical Financials'!H$7</f>
        <v>-4.1891661456261012E-2</v>
      </c>
      <c r="I39" s="88">
        <f>'Historical Financials'!I81/'Historical Financials'!I$7</f>
        <v>-3.5163670697771307E-2</v>
      </c>
      <c r="J39" s="88">
        <f>'Historical Financials'!J81/'Historical Financials'!J$7</f>
        <v>-1.3047895488468448E-2</v>
      </c>
      <c r="K39" s="88">
        <f>'Historical Financials'!K81/'Historical Financials'!K$7</f>
        <v>-1.1328213666887074E-2</v>
      </c>
      <c r="L39" s="88">
        <f>'Historical Financials'!L81/'Historical Financials'!L$7</f>
        <v>-7.9391549443147413E-3</v>
      </c>
    </row>
    <row r="40" spans="2:12" x14ac:dyDescent="0.25">
      <c r="B40" s="56" t="s">
        <v>64</v>
      </c>
      <c r="C40" s="88">
        <f>'Historical Financials'!C83/'Historical Financials'!C$7</f>
        <v>1.1547344110854504E-2</v>
      </c>
      <c r="D40" s="88">
        <f>'Historical Financials'!D83/'Historical Financials'!D$7</f>
        <v>1.0281266064478226E-2</v>
      </c>
      <c r="E40" s="88">
        <f>'Historical Financials'!E83/'Historical Financials'!E$7</f>
        <v>1.8469002398213745E-2</v>
      </c>
      <c r="F40" s="88">
        <f>'Historical Financials'!F83/'Historical Financials'!F$7</f>
        <v>2.5235713414315342E-2</v>
      </c>
      <c r="G40" s="88">
        <f>'Historical Financials'!G83/'Historical Financials'!G$7</f>
        <v>3.7774253238170762E-2</v>
      </c>
      <c r="H40" s="88">
        <f>'Historical Financials'!H83/'Historical Financials'!H$7</f>
        <v>-1.7080657079520264E-2</v>
      </c>
      <c r="I40" s="88">
        <f>'Historical Financials'!I83/'Historical Financials'!I$7</f>
        <v>-3.0986145106181605E-2</v>
      </c>
      <c r="J40" s="88">
        <f>'Historical Financials'!J83/'Historical Financials'!J$7</f>
        <v>3.67874645616625E-2</v>
      </c>
      <c r="K40" s="88">
        <f>'Historical Financials'!K83/'Historical Financials'!K$7</f>
        <v>-1.9864907351143605E-2</v>
      </c>
      <c r="L40" s="88">
        <f>'Historical Financials'!L83/'Historical Financials'!L$7</f>
        <v>4.4600524481240968E-3</v>
      </c>
    </row>
  </sheetData>
  <mergeCells count="1">
    <mergeCell ref="B2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5" x14ac:dyDescent="0.25"/>
  <cols>
    <col min="1" max="1" width="1.85546875" customWidth="1"/>
    <col min="2" max="2" width="28.7109375" style="66" customWidth="1"/>
    <col min="3" max="12" width="11.7109375" customWidth="1"/>
    <col min="13" max="13" width="21.140625" customWidth="1"/>
  </cols>
  <sheetData>
    <row r="2" spans="2:15" x14ac:dyDescent="0.25">
      <c r="B2" s="167" t="str">
        <f>"Ratio Analysis"&amp;" - "&amp;'Historical Financials'!B1</f>
        <v>Ratio Analysis - MARUTI SUZUKI LTD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3" spans="2:15" x14ac:dyDescent="0.25">
      <c r="B3" s="67" t="s">
        <v>120</v>
      </c>
      <c r="C3" s="2">
        <v>2016</v>
      </c>
      <c r="D3" s="2">
        <f>C3+1</f>
        <v>2017</v>
      </c>
      <c r="E3" s="2">
        <f t="shared" ref="E3:L3" si="0">D3+1</f>
        <v>2018</v>
      </c>
      <c r="F3" s="2">
        <f t="shared" si="0"/>
        <v>2019</v>
      </c>
      <c r="G3" s="2">
        <f t="shared" si="0"/>
        <v>2020</v>
      </c>
      <c r="H3" s="2">
        <f t="shared" si="0"/>
        <v>2021</v>
      </c>
      <c r="I3" s="2">
        <f t="shared" si="0"/>
        <v>2022</v>
      </c>
      <c r="J3" s="2">
        <f t="shared" si="0"/>
        <v>2023</v>
      </c>
      <c r="K3" s="2">
        <f t="shared" si="0"/>
        <v>2024</v>
      </c>
      <c r="L3" s="2">
        <f t="shared" si="0"/>
        <v>2025</v>
      </c>
      <c r="M3" s="2" t="s">
        <v>126</v>
      </c>
      <c r="N3" s="2" t="s">
        <v>127</v>
      </c>
      <c r="O3" s="2" t="s">
        <v>128</v>
      </c>
    </row>
    <row r="4" spans="2:15" x14ac:dyDescent="0.25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2:15" x14ac:dyDescent="0.25">
      <c r="B5" s="66" t="s">
        <v>129</v>
      </c>
      <c r="C5" s="62" t="str">
        <f>'Comparative Analysis'!C6</f>
        <v>-</v>
      </c>
      <c r="D5" s="86">
        <f>'Comparative Analysis'!D6</f>
        <v>0.18225702825192311</v>
      </c>
      <c r="E5" s="86">
        <f>'Comparative Analysis'!E6</f>
        <v>0.17220239406624063</v>
      </c>
      <c r="F5" s="86">
        <f>'Comparative Analysis'!F6</f>
        <v>7.8425598989592782E-2</v>
      </c>
      <c r="G5" s="86">
        <f>'Comparative Analysis'!G6</f>
        <v>-0.12093274542951254</v>
      </c>
      <c r="H5" s="86">
        <f>'Comparative Analysis'!H6</f>
        <v>-6.9891620407084326E-2</v>
      </c>
      <c r="I5" s="86">
        <f>'Comparative Analysis'!I6</f>
        <v>0.25518387995225378</v>
      </c>
      <c r="J5" s="86">
        <f>'Comparative Analysis'!J6</f>
        <v>0.34054305568449145</v>
      </c>
      <c r="K5" s="86">
        <f>'Comparative Analysis'!K6</f>
        <v>0.19802651636391905</v>
      </c>
      <c r="L5" s="86">
        <f>'Comparative Analysis'!L6</f>
        <v>7.7928522989858792E-2</v>
      </c>
      <c r="N5" s="90">
        <f>AVERAGE(D5:L5)</f>
        <v>0.12374918116240918</v>
      </c>
      <c r="O5" s="90">
        <f>MEDIAN(D5:L5)</f>
        <v>0.17220239406624063</v>
      </c>
    </row>
    <row r="6" spans="2:15" x14ac:dyDescent="0.25">
      <c r="B6" s="66" t="s">
        <v>130</v>
      </c>
      <c r="C6" s="62" t="str">
        <f>'Comparative Analysis'!C10</f>
        <v>-</v>
      </c>
      <c r="D6" s="86">
        <f>'Comparative Analysis'!D10</f>
        <v>0.15482984452743268</v>
      </c>
      <c r="E6" s="86">
        <f>'Comparative Analysis'!E10</f>
        <v>0.16280118603245158</v>
      </c>
      <c r="F6" s="86">
        <f>'Comparative Analysis'!F10</f>
        <v>-8.7605938322645432E-2</v>
      </c>
      <c r="G6" s="86">
        <f>'Comparative Analysis'!G10</f>
        <v>-0.33476841257925349</v>
      </c>
      <c r="H6" s="86">
        <f>'Comparative Analysis'!H10</f>
        <v>-0.26436437797416712</v>
      </c>
      <c r="I6" s="86">
        <f>'Comparative Analysis'!I10</f>
        <v>6.3098362473665071E-2</v>
      </c>
      <c r="J6" s="86">
        <f>'Comparative Analysis'!J10</f>
        <v>1.2812065368567402</v>
      </c>
      <c r="K6" s="86">
        <f>'Comparative Analysis'!K10</f>
        <v>0.41952520672179316</v>
      </c>
      <c r="L6" s="86">
        <f>'Comparative Analysis'!L10</f>
        <v>8.214191761111872E-2</v>
      </c>
      <c r="N6" s="90">
        <f>AVERAGE(C6:L6)</f>
        <v>0.16409603614968171</v>
      </c>
      <c r="O6" s="90">
        <f>MEDIAN(C6:L6)</f>
        <v>8.214191761111872E-2</v>
      </c>
    </row>
    <row r="7" spans="2:15" x14ac:dyDescent="0.25">
      <c r="B7" s="69" t="s">
        <v>131</v>
      </c>
      <c r="C7" s="62" t="str">
        <f>'Comparative Analysis'!C12</f>
        <v>-</v>
      </c>
      <c r="D7" s="86">
        <f>'Comparative Analysis'!D12</f>
        <v>0.26040339873917839</v>
      </c>
      <c r="E7" s="86">
        <f>'Comparative Analysis'!E12</f>
        <v>0.19708598766853277</v>
      </c>
      <c r="F7" s="86">
        <f>'Comparative Analysis'!F12</f>
        <v>-0.14133210801337737</v>
      </c>
      <c r="G7" s="86">
        <f>'Comparative Analysis'!G12</f>
        <v>-0.52378818990728637</v>
      </c>
      <c r="H7" s="86">
        <f>'Comparative Analysis'!H12</f>
        <v>-0.37895259499294381</v>
      </c>
      <c r="I7" s="86">
        <f>'Comparative Analysis'!I12</f>
        <v>0.24679150010520165</v>
      </c>
      <c r="J7" s="86">
        <f>'Comparative Analysis'!J12</f>
        <v>1.7929463381707604</v>
      </c>
      <c r="K7" s="86">
        <f>'Comparative Analysis'!K12</f>
        <v>0.61567276901697887</v>
      </c>
      <c r="L7" s="86">
        <f>'Comparative Analysis'!L12</f>
        <v>8.8074492352565648E-2</v>
      </c>
      <c r="N7" s="90">
        <f>AVERAGE(C7:L7)</f>
        <v>0.23965573257106781</v>
      </c>
      <c r="O7" s="90">
        <f>MEDIAN(C7:L7)</f>
        <v>0.19708598766853277</v>
      </c>
    </row>
    <row r="8" spans="2:15" x14ac:dyDescent="0.25">
      <c r="B8" s="69" t="s">
        <v>132</v>
      </c>
      <c r="C8" s="62" t="str">
        <f>'Comparative Analysis'!C17</f>
        <v>-</v>
      </c>
      <c r="D8" s="86">
        <f>'Comparative Analysis'!D17</f>
        <v>5.5897236278709697E-2</v>
      </c>
      <c r="E8" s="86">
        <f>'Comparative Analysis'!E17</f>
        <v>0.3166334881663308</v>
      </c>
      <c r="F8" s="86">
        <f>'Comparative Analysis'!F17</f>
        <v>-0.34979700405991571</v>
      </c>
      <c r="G8" s="86">
        <f>'Comparative Analysis'!G17</f>
        <v>-1.4922917922659531</v>
      </c>
      <c r="H8" s="86">
        <f>'Comparative Analysis'!H17</f>
        <v>0.49011546536039258</v>
      </c>
      <c r="I8" s="86">
        <f>'Comparative Analysis'!I17</f>
        <v>-1.0926915174640532</v>
      </c>
      <c r="J8" s="86">
        <f>'Comparative Analysis'!J17</f>
        <v>20.746041798604718</v>
      </c>
      <c r="K8" s="86">
        <f>'Comparative Analysis'!K17</f>
        <v>0.45411655065964079</v>
      </c>
      <c r="L8" s="86">
        <f>'Comparative Analysis'!L17</f>
        <v>-0.20528740236331172</v>
      </c>
      <c r="N8" s="90">
        <f>AVERAGE(C8:L8)</f>
        <v>2.1025263136573953</v>
      </c>
      <c r="O8" s="90">
        <f>MEDIAN(C8:L8)</f>
        <v>5.5897236278709697E-2</v>
      </c>
    </row>
    <row r="9" spans="2:15" x14ac:dyDescent="0.25">
      <c r="B9" s="70" t="s">
        <v>133</v>
      </c>
      <c r="C9" s="74" t="str">
        <f>IFERROR(('Historical Financials'!C24-'Historical Financials'!B24)/'Historical Financials'!B24,"-")</f>
        <v>-</v>
      </c>
      <c r="D9" s="87">
        <f>IFERROR(('Historical Financials'!D24-'Historical Financials'!C24)/'Historical Financials'!C24,"-")</f>
        <v>1.1428571428571428</v>
      </c>
      <c r="E9" s="87">
        <f>IFERROR(('Historical Financials'!E24-'Historical Financials'!D24)/'Historical Financials'!D24,"-")</f>
        <v>6.6666666666666666E-2</v>
      </c>
      <c r="F9" s="87">
        <f>IFERROR(('Historical Financials'!F24-'Historical Financials'!E24)/'Historical Financials'!E24,"-")</f>
        <v>0</v>
      </c>
      <c r="G9" s="87">
        <f>IFERROR(('Historical Financials'!G24-'Historical Financials'!F24)/'Historical Financials'!F24,"-")</f>
        <v>-0.25</v>
      </c>
      <c r="H9" s="87">
        <f>IFERROR(('Historical Financials'!H24-'Historical Financials'!G24)/'Historical Financials'!G24,"-")</f>
        <v>-0.25</v>
      </c>
      <c r="I9" s="87">
        <f>IFERROR(('Historical Financials'!I24-'Historical Financials'!H24)/'Historical Financials'!H24,"-")</f>
        <v>0.33333333333333331</v>
      </c>
      <c r="J9" s="87">
        <f>IFERROR(('Historical Financials'!J24-'Historical Financials'!I24)/'Historical Financials'!I24,"-")</f>
        <v>0.5</v>
      </c>
      <c r="K9" s="87">
        <f>IFERROR(('Historical Financials'!K24-'Historical Financials'!J24)/'Historical Financials'!J24,"-")</f>
        <v>0.38888888888888906</v>
      </c>
      <c r="L9" s="87">
        <f>IFERROR(('Historical Financials'!L24-'Historical Financials'!K24)/'Historical Financials'!K24,"-")</f>
        <v>7.9999999999999877E-2</v>
      </c>
      <c r="M9" s="68"/>
      <c r="N9" s="90">
        <f>AVERAGE(C9:L9)</f>
        <v>0.22352733686067017</v>
      </c>
      <c r="O9" s="90">
        <f>MEDIAN(C9:L9)</f>
        <v>7.9999999999999877E-2</v>
      </c>
    </row>
    <row r="10" spans="2:15" x14ac:dyDescent="0.2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</row>
    <row r="11" spans="2:15" x14ac:dyDescent="0.25">
      <c r="B11" s="69" t="s">
        <v>134</v>
      </c>
      <c r="C11" s="88">
        <f>'Common Size Statement'!C8</f>
        <v>0.27367726475542198</v>
      </c>
      <c r="D11" s="88">
        <f>'Common Size Statement'!D8</f>
        <v>0.26556510244547255</v>
      </c>
      <c r="E11" s="88">
        <f>'Common Size Statement'!E8</f>
        <v>0.2609266577621181</v>
      </c>
      <c r="F11" s="88">
        <f>'Common Size Statement'!F8</f>
        <v>0.25428931606801564</v>
      </c>
      <c r="G11" s="88">
        <f>'Common Size Statement'!G8</f>
        <v>0.23794475284166008</v>
      </c>
      <c r="H11" s="88">
        <f>'Common Size Statement'!H8</f>
        <v>0.21253339396350823</v>
      </c>
      <c r="I11" s="88">
        <f>'Common Size Statement'!I8</f>
        <v>0.18964154792606813</v>
      </c>
      <c r="J11" s="88">
        <f>'Common Size Statement'!J8</f>
        <v>0.21686784635406334</v>
      </c>
      <c r="K11" s="88">
        <f>'Common Size Statement'!K8</f>
        <v>0.23856921912162998</v>
      </c>
      <c r="L11" s="88">
        <f>'Common Size Statement'!L8</f>
        <v>0.25109833696284811</v>
      </c>
      <c r="N11" s="90">
        <f>AVERAGE(C11:L11)</f>
        <v>0.24011134382008065</v>
      </c>
      <c r="O11" s="90">
        <f>MEDIAN(C11:L11)</f>
        <v>0.24483377804223905</v>
      </c>
    </row>
    <row r="12" spans="2:15" x14ac:dyDescent="0.25">
      <c r="B12" t="s">
        <v>135</v>
      </c>
      <c r="C12" s="88">
        <f>'Common Size Statement'!C10</f>
        <v>0.15669832780565723</v>
      </c>
      <c r="D12" s="88">
        <f>'Common Size Statement'!D10</f>
        <v>0.15306308291106704</v>
      </c>
      <c r="E12" s="88">
        <f>'Common Size Statement'!E10</f>
        <v>0.15183549807416152</v>
      </c>
      <c r="F12" s="88">
        <f>'Common Size Statement'!F10</f>
        <v>0.12845930857398472</v>
      </c>
      <c r="G12" s="88">
        <f>'Common Size Statement'!G10</f>
        <v>9.7211208035950333E-2</v>
      </c>
      <c r="H12" s="88">
        <f>'Common Size Statement'!H10</f>
        <v>7.6885693173421282E-2</v>
      </c>
      <c r="I12" s="88">
        <f>'Common Size Statement'!I10</f>
        <v>6.5119585915512257E-2</v>
      </c>
      <c r="J12" s="88">
        <f>'Common Size Statement'!J10</f>
        <v>0.11081421401419986</v>
      </c>
      <c r="K12" s="88">
        <f>'Common Size Statement'!K10</f>
        <v>0.13130224407189722</v>
      </c>
      <c r="L12" s="88">
        <f>'Common Size Statement'!L10</f>
        <v>0.13181547677437494</v>
      </c>
      <c r="N12" s="90">
        <f>AVERAGE(C12:L12)</f>
        <v>0.12032046393502263</v>
      </c>
      <c r="O12" s="90">
        <f>MEDIAN(C12:L12)</f>
        <v>0.12988077632294098</v>
      </c>
    </row>
    <row r="13" spans="2:15" x14ac:dyDescent="0.25">
      <c r="B13" t="s">
        <v>136</v>
      </c>
      <c r="C13" s="88">
        <f>'Comparative Analysis'!D12</f>
        <v>0.26040339873917839</v>
      </c>
      <c r="D13" s="88">
        <f>'Comparative Analysis'!E12</f>
        <v>0.19708598766853277</v>
      </c>
      <c r="E13" s="88">
        <f>'Comparative Analysis'!F12</f>
        <v>-0.14133210801337737</v>
      </c>
      <c r="F13" s="88">
        <f>'Comparative Analysis'!G12</f>
        <v>-0.52378818990728637</v>
      </c>
      <c r="G13" s="88">
        <f>'Comparative Analysis'!H12</f>
        <v>-0.37895259499294381</v>
      </c>
      <c r="H13" s="88">
        <f>'Comparative Analysis'!I12</f>
        <v>0.24679150010520165</v>
      </c>
      <c r="I13" s="88">
        <f>'Comparative Analysis'!J12</f>
        <v>1.7929463381707604</v>
      </c>
      <c r="J13" s="88">
        <f>'Comparative Analysis'!K12</f>
        <v>0.61567276901697887</v>
      </c>
      <c r="K13" s="88">
        <f>'Comparative Analysis'!L12</f>
        <v>8.8074492352565648E-2</v>
      </c>
      <c r="L13" s="88">
        <f>'Comparative Analysis'!M12</f>
        <v>0</v>
      </c>
      <c r="N13" s="90">
        <f>AVERAGE(C13:L13)</f>
        <v>0.21569015931396102</v>
      </c>
      <c r="O13" s="90">
        <f>MEDIAN(C13:L13)</f>
        <v>0.1425802400105492</v>
      </c>
    </row>
    <row r="14" spans="2:15" x14ac:dyDescent="0.25">
      <c r="B14" t="s">
        <v>137</v>
      </c>
      <c r="C14" s="88">
        <f>'Comparative Analysis'!D15</f>
        <v>0.14437882529797177</v>
      </c>
      <c r="D14" s="88">
        <f>'Comparative Analysis'!E15</f>
        <v>0.28691262573187004</v>
      </c>
      <c r="E14" s="88">
        <f>'Comparative Analysis'!F15</f>
        <v>-0.22781690654300821</v>
      </c>
      <c r="F14" s="88">
        <f>'Comparative Analysis'!G15</f>
        <v>-0.94674623257921942</v>
      </c>
      <c r="G14" s="88">
        <f>'Comparative Analysis'!H15</f>
        <v>-3.7361702127659329</v>
      </c>
      <c r="H14" s="88">
        <f>'Comparative Analysis'!I15</f>
        <v>-2.2643856920684513</v>
      </c>
      <c r="I14" s="88">
        <f>'Comparative Analysis'!J15</f>
        <v>4.7484624846247634</v>
      </c>
      <c r="J14" s="88">
        <f>'Comparative Analysis'!K15</f>
        <v>0.59218644128240938</v>
      </c>
      <c r="K14" s="88">
        <f>'Comparative Analysis'!L15</f>
        <v>1.7750551554991049E-2</v>
      </c>
      <c r="L14" s="88">
        <f>'Comparative Analysis'!M15</f>
        <v>0</v>
      </c>
      <c r="N14" s="90">
        <f>AVERAGE(C14:L14)</f>
        <v>-0.13854281154646067</v>
      </c>
      <c r="O14" s="90">
        <f>MEDIAN(C14:L14)</f>
        <v>8.8752757774955247E-3</v>
      </c>
    </row>
    <row r="15" spans="2:15" x14ac:dyDescent="0.25">
      <c r="B15" s="66" t="s">
        <v>138</v>
      </c>
      <c r="C15" s="88">
        <f>'Comparative Analysis'!D17</f>
        <v>5.5897236278709697E-2</v>
      </c>
      <c r="D15" s="88">
        <f>'Comparative Analysis'!E17</f>
        <v>0.3166334881663308</v>
      </c>
      <c r="E15" s="88">
        <f>'Comparative Analysis'!F17</f>
        <v>-0.34979700405991571</v>
      </c>
      <c r="F15" s="88">
        <f>'Comparative Analysis'!G17</f>
        <v>-1.4922917922659531</v>
      </c>
      <c r="G15" s="88">
        <f>'Comparative Analysis'!H17</f>
        <v>0.49011546536039258</v>
      </c>
      <c r="H15" s="88">
        <f>'Comparative Analysis'!I17</f>
        <v>-1.0926915174640532</v>
      </c>
      <c r="I15" s="88">
        <f>'Comparative Analysis'!J17</f>
        <v>20.746041798604718</v>
      </c>
      <c r="J15" s="88">
        <f>'Comparative Analysis'!K17</f>
        <v>0.45411655065964079</v>
      </c>
      <c r="K15" s="88">
        <f>'Comparative Analysis'!L17</f>
        <v>-0.20528740236331172</v>
      </c>
      <c r="L15" s="88">
        <f>'Comparative Analysis'!M17</f>
        <v>0</v>
      </c>
      <c r="N15" s="90">
        <f>AVERAGE(C15:L15)</f>
        <v>1.8922736822916559</v>
      </c>
      <c r="O15" s="90">
        <f>MEDIAN(C15:L15)</f>
        <v>2.7948618139354849E-2</v>
      </c>
    </row>
    <row r="16" spans="2:15" x14ac:dyDescent="0.25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</row>
    <row r="17" spans="2:15" x14ac:dyDescent="0.25">
      <c r="B17" s="75" t="s">
        <v>139</v>
      </c>
      <c r="C17" s="88">
        <f>'Historical Financials'!C10/'Historical Financials'!C7</f>
        <v>0.11697893694976473</v>
      </c>
      <c r="D17" s="88">
        <f>'Historical Financials'!D10/'Historical Financials'!D7</f>
        <v>0.11250201953440553</v>
      </c>
      <c r="E17" s="88">
        <f>'Historical Financials'!E10/'Historical Financials'!E7</f>
        <v>0.10909115968795656</v>
      </c>
      <c r="F17" s="88">
        <f>'Historical Financials'!F10/'Historical Financials'!F7</f>
        <v>0.12583000749403092</v>
      </c>
      <c r="G17" s="88">
        <f>'Historical Financials'!G10/'Historical Financials'!G7</f>
        <v>0.14073354480570974</v>
      </c>
      <c r="H17" s="88">
        <f>'Historical Financials'!H10/'Historical Financials'!H7</f>
        <v>0.13564770079008695</v>
      </c>
      <c r="I17" s="88">
        <f>'Historical Financials'!I10/'Historical Financials'!I7</f>
        <v>0.12452196201055589</v>
      </c>
      <c r="J17" s="88">
        <f>'Historical Financials'!J10/'Historical Financials'!J7</f>
        <v>0.10605363233986348</v>
      </c>
      <c r="K17" s="88">
        <f>'Historical Financials'!K10/'Historical Financials'!K7</f>
        <v>0.10726697504973276</v>
      </c>
      <c r="L17" s="88">
        <f>'Historical Financials'!L10/'Historical Financials'!L7</f>
        <v>0.1192828601884732</v>
      </c>
      <c r="N17" s="90">
        <f>AVERAGE(C17:L17)</f>
        <v>0.11979087988505799</v>
      </c>
      <c r="O17" s="90">
        <f>MEDIAN(C17:L17)</f>
        <v>0.11813089856911896</v>
      </c>
    </row>
    <row r="18" spans="2:15" x14ac:dyDescent="0.25">
      <c r="B18" t="s">
        <v>140</v>
      </c>
      <c r="C18" s="88">
        <f>'Historical Financials'!C12/'Historical Financials'!C7</f>
        <v>4.8998940769938708E-2</v>
      </c>
      <c r="D18" s="88">
        <f>'Historical Financials'!D12/'Historical Financials'!D7</f>
        <v>3.8244841007564076E-2</v>
      </c>
      <c r="E18" s="88">
        <f>'Historical Financials'!E12/'Historical Financials'!E7</f>
        <v>3.4579886579776321E-2</v>
      </c>
      <c r="F18" s="88">
        <f>'Historical Financials'!F12/'Historical Financials'!F7</f>
        <v>3.5097625728344288E-2</v>
      </c>
      <c r="G18" s="88">
        <f>'Historical Financials'!G12/'Historical Financials'!G7</f>
        <v>4.663494581020354E-2</v>
      </c>
      <c r="H18" s="88">
        <f>'Historical Financials'!H12/'Historical Financials'!H7</f>
        <v>4.3115159438413E-2</v>
      </c>
      <c r="I18" s="88">
        <f>'Historical Financials'!I12/'Historical Financials'!I7</f>
        <v>3.1574847899576361E-2</v>
      </c>
      <c r="J18" s="88">
        <f>'Historical Financials'!J12/'Historical Financials'!J7</f>
        <v>4.092563206285961E-2</v>
      </c>
      <c r="K18" s="88">
        <f>'Historical Financials'!K12/'Historical Financials'!K7</f>
        <v>3.7049673547246476E-2</v>
      </c>
      <c r="L18" s="88">
        <f>'Historical Financials'!L12/'Historical Financials'!L7</f>
        <v>3.6675756802887913E-2</v>
      </c>
      <c r="N18" s="90">
        <f>AVERAGE(C18:L18)</f>
        <v>3.9289730964681031E-2</v>
      </c>
      <c r="O18" s="90">
        <f>MEDIAN(C18:L18)</f>
        <v>3.7647257277405276E-2</v>
      </c>
    </row>
    <row r="19" spans="2:15" x14ac:dyDescent="0.25">
      <c r="B19" s="68" t="s">
        <v>141</v>
      </c>
      <c r="C19" s="89">
        <f>'Historical Financials'!C11/'Historical Financials'!C7</f>
        <v>0.15669832780565723</v>
      </c>
      <c r="D19" s="89">
        <f>'Historical Financials'!D11/'Historical Financials'!D7</f>
        <v>0.15306308291106704</v>
      </c>
      <c r="E19" s="89">
        <f>'Historical Financials'!E11/'Historical Financials'!E7</f>
        <v>0.15183549807416152</v>
      </c>
      <c r="F19" s="89">
        <f>'Historical Financials'!F11/'Historical Financials'!F7</f>
        <v>0.12845930857398472</v>
      </c>
      <c r="G19" s="89">
        <f>'Historical Financials'!G11/'Historical Financials'!G7</f>
        <v>9.7211208035950333E-2</v>
      </c>
      <c r="H19" s="89">
        <f>'Historical Financials'!H11/'Historical Financials'!H7</f>
        <v>7.6885693173421282E-2</v>
      </c>
      <c r="I19" s="89">
        <f>'Historical Financials'!I11/'Historical Financials'!I7</f>
        <v>6.5119585915512257E-2</v>
      </c>
      <c r="J19" s="89">
        <f>'Historical Financials'!J11/'Historical Financials'!J7</f>
        <v>0.11081421401419986</v>
      </c>
      <c r="K19" s="89">
        <f>'Historical Financials'!K11/'Historical Financials'!K7</f>
        <v>0.13130224407189722</v>
      </c>
      <c r="L19" s="89">
        <f>'Historical Financials'!L11/'Historical Financials'!L7</f>
        <v>0.13181547677437494</v>
      </c>
      <c r="M19" s="68"/>
      <c r="N19" s="92">
        <f>AVERAGE(C19:L19)</f>
        <v>0.12032046393502263</v>
      </c>
      <c r="O19" s="92">
        <f>MEDIAN(C19:L19)</f>
        <v>0.12988077632294098</v>
      </c>
    </row>
    <row r="20" spans="2:15" x14ac:dyDescent="0.25"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76"/>
      <c r="O20" s="58"/>
    </row>
    <row r="21" spans="2:15" x14ac:dyDescent="0.25">
      <c r="B21" s="75" t="s">
        <v>142</v>
      </c>
      <c r="C21" s="88">
        <f>('Historical Financials'!C47-'Historical Financials'!C34)/'Historical Financials'!C13</f>
        <v>0.72661754510423571</v>
      </c>
      <c r="D21" s="88">
        <f>('Historical Financials'!D47-'Historical Financials'!D34)/'Historical Financials'!D13</f>
        <v>0.57433417760380734</v>
      </c>
      <c r="E21" s="88">
        <f>('Historical Financials'!E47-'Historical Financials'!E34)/'Historical Financials'!E13</f>
        <v>0.5021959585813357</v>
      </c>
      <c r="F21" s="88">
        <f>('Historical Financials'!F47-'Historical Financials'!F34)/'Historical Financials'!F13</f>
        <v>0.72468421380125814</v>
      </c>
      <c r="G21" s="88">
        <f>('Historical Financials'!G47-'Historical Financials'!G34)/'Historical Financials'!G13</f>
        <v>1.3642920608372977</v>
      </c>
      <c r="H21" s="88">
        <f>('Historical Financials'!H47-'Historical Financials'!H34)/'Historical Financials'!H13</f>
        <v>3.103723963812326</v>
      </c>
      <c r="I21" s="88">
        <f>('Historical Financials'!I47-'Historical Financials'!I34)/'Historical Financials'!I13</f>
        <v>2.9055011812352203</v>
      </c>
      <c r="J21" s="88">
        <f>('Historical Financials'!J47-'Historical Financials'!J34)/'Historical Financials'!J13</f>
        <v>1.3868406742795012</v>
      </c>
      <c r="K21" s="88">
        <f>('Historical Financials'!K47-'Historical Financials'!K34)/'Historical Financials'!K13</f>
        <v>0.95301596798922916</v>
      </c>
      <c r="L21" s="88">
        <f>('Historical Financials'!L47-'Historical Financials'!L34)/'Historical Financials'!L13</f>
        <v>0.96272365463531273</v>
      </c>
      <c r="N21" s="91">
        <f t="shared" ref="N21:N40" si="1">AVERAGE(C21:L21)</f>
        <v>1.3203929397879524</v>
      </c>
      <c r="O21" s="90">
        <f>MEDIAN(C21:L21)</f>
        <v>0.957869811312271</v>
      </c>
    </row>
    <row r="22" spans="2:15" x14ac:dyDescent="0.25">
      <c r="B22" t="s">
        <v>143</v>
      </c>
      <c r="C22" s="90">
        <f>'Historical Financials'!C27</f>
        <v>0.58855585831062585</v>
      </c>
      <c r="D22" s="90">
        <f>'Historical Financials'!D27</f>
        <v>0.16500774165007737</v>
      </c>
      <c r="E22" s="90">
        <f>'Historical Financials'!E27</f>
        <v>0.32353352932941115</v>
      </c>
      <c r="F22" s="90">
        <f>'Historical Financials'!F27</f>
        <v>0</v>
      </c>
      <c r="G22" s="90">
        <f>'Historical Financials'!G27</f>
        <v>0</v>
      </c>
      <c r="H22" s="90">
        <f>'Historical Financials'!H27</f>
        <v>0</v>
      </c>
      <c r="I22" s="90">
        <f>'Historical Financials'!I27</f>
        <v>0</v>
      </c>
      <c r="J22" s="90">
        <f>'Historical Financials'!J27</f>
        <v>0.17593266738503743</v>
      </c>
      <c r="K22" s="90">
        <f>'Historical Financials'!K27</f>
        <v>0.2128980572801944</v>
      </c>
      <c r="L22" s="90">
        <f>'Historical Financials'!L27</f>
        <v>0</v>
      </c>
      <c r="N22" s="91">
        <f t="shared" si="1"/>
        <v>0.14659278539553461</v>
      </c>
      <c r="O22" s="90">
        <f>MEDIAN(C22:L22)</f>
        <v>8.2503870825038683E-2</v>
      </c>
    </row>
    <row r="23" spans="2:15" x14ac:dyDescent="0.25">
      <c r="B23" t="s">
        <v>144</v>
      </c>
      <c r="C23" s="88">
        <f>'Historical Financials'!C18/SUM('Historical Financials'!C30:C31)</f>
        <v>8.3910373660830762E-2</v>
      </c>
      <c r="D23" s="88">
        <f>'Historical Financials'!D18/SUM('Historical Financials'!D30:D31)</f>
        <v>7.3165008320948549E-2</v>
      </c>
      <c r="E23" s="88">
        <f>'Historical Financials'!E18/SUM('Historical Financials'!E30:E31)</f>
        <v>8.3918006362871375E-2</v>
      </c>
      <c r="F23" s="88">
        <f>'Historical Financials'!F18/SUM('Historical Financials'!F30:F31)</f>
        <v>4.9311880336617042E-2</v>
      </c>
      <c r="G23" s="88">
        <f>'Historical Financials'!G18/SUM('Historical Financials'!G30:G31)</f>
        <v>-2.3135612085888293E-2</v>
      </c>
      <c r="H23" s="88">
        <f>'Historical Financials'!H18/SUM('Historical Financials'!H30:H31)</f>
        <v>-3.2447248221925046E-2</v>
      </c>
      <c r="I23" s="88">
        <f>'Historical Financials'!I18/SUM('Historical Financials'!I30:I31)</f>
        <v>2.8536058626332083E-3</v>
      </c>
      <c r="J23" s="88">
        <f>'Historical Financials'!J18/SUM('Historical Financials'!J30:J31)</f>
        <v>4.6028026734512825E-2</v>
      </c>
      <c r="K23" s="88">
        <f>'Historical Financials'!K18/SUM('Historical Financials'!K30:K31)</f>
        <v>5.8304918492223058E-2</v>
      </c>
      <c r="L23" s="88">
        <f>'Historical Financials'!L18/SUM('Historical Financials'!L30:L31)</f>
        <v>4.1230300530237414E-2</v>
      </c>
      <c r="N23" s="91">
        <f t="shared" si="1"/>
        <v>3.8313925999306095E-2</v>
      </c>
      <c r="O23" s="90">
        <f>MEDIAN(C23:L23)</f>
        <v>4.7669953535564934E-2</v>
      </c>
    </row>
    <row r="24" spans="2:15" x14ac:dyDescent="0.25">
      <c r="B24" t="s">
        <v>145</v>
      </c>
      <c r="C24" s="88">
        <f>C21*C22</f>
        <v>0.42765501292238334</v>
      </c>
      <c r="D24" s="88">
        <f t="shared" ref="D24:L24" si="2">D21*D22</f>
        <v>9.4769585598858688E-2</v>
      </c>
      <c r="E24" s="88">
        <f t="shared" si="2"/>
        <v>0.16247723089478633</v>
      </c>
      <c r="F24" s="88">
        <f t="shared" si="2"/>
        <v>0</v>
      </c>
      <c r="G24" s="88">
        <f t="shared" si="2"/>
        <v>0</v>
      </c>
      <c r="H24" s="88">
        <f t="shared" si="2"/>
        <v>0</v>
      </c>
      <c r="I24" s="88">
        <f t="shared" si="2"/>
        <v>0</v>
      </c>
      <c r="J24" s="88">
        <f t="shared" si="2"/>
        <v>0.24399057906405652</v>
      </c>
      <c r="K24" s="88">
        <f t="shared" si="2"/>
        <v>0.20289524814191082</v>
      </c>
      <c r="L24" s="88">
        <f t="shared" si="2"/>
        <v>0</v>
      </c>
      <c r="N24" s="91">
        <f t="shared" si="1"/>
        <v>0.11317876566219956</v>
      </c>
      <c r="O24" s="90">
        <f>MEDIAN(C24:L24)</f>
        <v>4.7384792799429344E-2</v>
      </c>
    </row>
    <row r="25" spans="2:15" x14ac:dyDescent="0.25">
      <c r="B25" s="68" t="s">
        <v>146</v>
      </c>
      <c r="C25" s="77">
        <f>'Historical Financials'!C13/'Historical Financials'!C14</f>
        <v>75.915544675642522</v>
      </c>
      <c r="D25" s="77">
        <f>'Historical Financials'!D13/'Historical Financials'!D14</f>
        <v>87.442953020134212</v>
      </c>
      <c r="E25" s="77">
        <f>'Historical Financials'!E13/'Historical Financials'!E14</f>
        <v>27.062174667437787</v>
      </c>
      <c r="F25" s="77">
        <f>'Historical Financials'!F13/'Historical Financials'!F14</f>
        <v>105.86956521739133</v>
      </c>
      <c r="G25" s="77">
        <f>'Historical Financials'!G13/'Historical Financials'!G14</f>
        <v>28.514157973174381</v>
      </c>
      <c r="H25" s="77">
        <f>'Historical Financials'!H13/'Historical Financials'!H14</f>
        <v>23.344793713163089</v>
      </c>
      <c r="I25" s="77">
        <f>'Historical Financials'!I13/'Historical Financials'!I14</f>
        <v>23.404423380726815</v>
      </c>
      <c r="J25" s="77">
        <f>'Historical Financials'!J13/'Historical Financials'!J14</f>
        <v>32.800237812128429</v>
      </c>
      <c r="K25" s="77">
        <f>'Historical Financials'!K13/'Historical Financials'!K14</f>
        <v>69.062500000000071</v>
      </c>
      <c r="L25" s="77">
        <f>'Historical Financials'!L13/'Historical Financials'!L14</f>
        <v>74.912976313079284</v>
      </c>
      <c r="M25" s="68"/>
      <c r="N25" s="82">
        <f>AVERAGE(C25:L25)</f>
        <v>54.832932677287793</v>
      </c>
      <c r="O25" s="82">
        <f>MEDIAN(C25:L25)</f>
        <v>50.93136890606425</v>
      </c>
    </row>
    <row r="26" spans="2:15" x14ac:dyDescent="0.25">
      <c r="C26" s="7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76"/>
      <c r="O26" s="58"/>
    </row>
    <row r="27" spans="2:15" x14ac:dyDescent="0.25">
      <c r="B27" s="75" t="s">
        <v>147</v>
      </c>
      <c r="C27" s="78">
        <f>'Historical Financials'!C15/'Historical Financials'!C16</f>
        <v>0.31442070224417518</v>
      </c>
      <c r="D27" s="78">
        <f>'Historical Financials'!D15/'Historical Financials'!D16</f>
        <v>0.45023269779312419</v>
      </c>
      <c r="E27" s="78">
        <f>'Historical Financials'!E15/'Historical Financials'!E16</f>
        <v>0.31418697230850046</v>
      </c>
      <c r="F27" s="78">
        <f>'Historical Financials'!F15/'Historical Financials'!F16</f>
        <v>0.50311591192355598</v>
      </c>
      <c r="G27" s="78">
        <f>'Historical Financials'!G15/'Historical Financials'!G16</f>
        <v>12.093617021276518</v>
      </c>
      <c r="H27" s="78">
        <f>'Historical Financials'!H15/'Historical Financials'!H16</f>
        <v>-3.9480300673924411</v>
      </c>
      <c r="I27" s="78">
        <f>'Historical Financials'!I15/'Historical Financials'!I16</f>
        <v>1.9073390733907052</v>
      </c>
      <c r="J27" s="78">
        <f>'Historical Financials'!J15/'Historical Financials'!J16</f>
        <v>0.43061945009093799</v>
      </c>
      <c r="K27" s="78">
        <f>'Historical Financials'!K15/'Historical Financials'!K16</f>
        <v>0.47569238350150556</v>
      </c>
      <c r="L27" s="78">
        <f>'Historical Financials'!L15/'Historical Financials'!L16</f>
        <v>0.57946917845903334</v>
      </c>
      <c r="N27" s="83">
        <f t="shared" si="1"/>
        <v>1.3120663323595616</v>
      </c>
      <c r="O27" s="79">
        <f>MEDIAN(C27:L27)</f>
        <v>0.4629625406473149</v>
      </c>
    </row>
    <row r="28" spans="2:15" x14ac:dyDescent="0.25">
      <c r="B28" t="s">
        <v>148</v>
      </c>
      <c r="C28" s="79">
        <f>'Historical Financials'!C7/'Historical Financials'!C33</f>
        <v>4.8481302510396844</v>
      </c>
      <c r="D28" s="79">
        <f>'Historical Financials'!D7/'Historical Financials'!D33</f>
        <v>4.7275340582427203</v>
      </c>
      <c r="E28" s="79">
        <f>'Historical Financials'!E7/'Historical Financials'!E33</f>
        <v>4.5428330733939726</v>
      </c>
      <c r="F28" s="79">
        <f>'Historical Financials'!F7/'Historical Financials'!F33</f>
        <v>5.1485613447388889</v>
      </c>
      <c r="G28" s="79">
        <f>'Historical Financials'!G7/'Historical Financials'!G33</f>
        <v>5.3924992516357104</v>
      </c>
      <c r="H28" s="79">
        <f>'Historical Financials'!H7/'Historical Financials'!H33</f>
        <v>3.8382075420243695</v>
      </c>
      <c r="I28" s="79">
        <f>'Historical Financials'!I7/'Historical Financials'!I33</f>
        <v>4.6744000211679415</v>
      </c>
      <c r="J28" s="79">
        <f>'Historical Financials'!J7/'Historical Financials'!J33</f>
        <v>4.8812319133323987</v>
      </c>
      <c r="K28" s="79">
        <f>'Historical Financials'!K7/'Historical Financials'!K33</f>
        <v>4.8006971353153185</v>
      </c>
      <c r="L28" s="79">
        <f>'Historical Financials'!L7/'Historical Financials'!L33</f>
        <v>4.2898984146399624</v>
      </c>
      <c r="N28" s="83">
        <f t="shared" si="1"/>
        <v>4.7143993005530973</v>
      </c>
      <c r="O28" s="79">
        <f>MEDIAN(C28:L28)</f>
        <v>4.7641155967790194</v>
      </c>
    </row>
    <row r="29" spans="2:15" x14ac:dyDescent="0.25">
      <c r="B29" t="s">
        <v>149</v>
      </c>
      <c r="C29" s="79">
        <f>'Historical Financials'!C8/'Historical Financials'!C43</f>
        <v>13.352550596948223</v>
      </c>
      <c r="D29" s="79">
        <f>'Historical Financials'!D8/'Historical Financials'!D43</f>
        <v>15.321261145325858</v>
      </c>
      <c r="E29" s="79">
        <f>'Historical Financials'!E8/'Historical Financials'!E43</f>
        <v>18.664957914056075</v>
      </c>
      <c r="F29" s="79">
        <f>'Historical Financials'!F8/'Historical Financials'!F43</f>
        <v>19.316860290134233</v>
      </c>
      <c r="G29" s="79">
        <f>'Historical Financials'!G8/'Historical Financials'!G43</f>
        <v>17.939917234512585</v>
      </c>
      <c r="H29" s="79">
        <f>'Historical Financials'!H8/'Historical Financials'!H43</f>
        <v>18.175008199409643</v>
      </c>
      <c r="I29" s="79">
        <f>'Historical Financials'!I8/'Historical Financials'!I43</f>
        <v>20.264077230133335</v>
      </c>
      <c r="J29" s="79">
        <f>'Historical Financials'!J8/'Historical Financials'!J43</f>
        <v>17.03510608983191</v>
      </c>
      <c r="K29" s="79">
        <f>'Historical Financials'!K8/'Historical Financials'!K43</f>
        <v>20.310862902164306</v>
      </c>
      <c r="L29" s="79">
        <f>'Historical Financials'!L8/'Historical Financials'!L43</f>
        <v>16.564948215008968</v>
      </c>
      <c r="N29" s="83">
        <f t="shared" si="1"/>
        <v>17.694554981752514</v>
      </c>
      <c r="O29" s="79">
        <f>MEDIAN(C29:L29)</f>
        <v>18.057462716961112</v>
      </c>
    </row>
    <row r="30" spans="2:15" x14ac:dyDescent="0.25">
      <c r="B30" t="s">
        <v>150</v>
      </c>
      <c r="C30" s="79">
        <f>'Historical Financials'!C7/'Historical Financials'!C36</f>
        <v>4.5962361128846894</v>
      </c>
      <c r="D30" s="79">
        <f>'Historical Financials'!D7/'Historical Financials'!D36</f>
        <v>5.1150578106335498</v>
      </c>
      <c r="E30" s="79">
        <f>'Historical Financials'!E7/'Historical Financials'!E36</f>
        <v>5.9609076242829824</v>
      </c>
      <c r="F30" s="79">
        <f>'Historical Financials'!F7/'Historical Financials'!F36</f>
        <v>5.5753596807731922</v>
      </c>
      <c r="G30" s="79">
        <f>'Historical Financials'!G7/'Historical Financials'!G36</f>
        <v>4.8055181524859636</v>
      </c>
      <c r="H30" s="79">
        <f>'Historical Financials'!H7/'Historical Financials'!H36</f>
        <v>4.6950035693555812</v>
      </c>
      <c r="I30" s="79">
        <f>'Historical Financials'!I7/'Historical Financials'!I36</f>
        <v>6.4252938780260704</v>
      </c>
      <c r="J30" s="79">
        <f>'Historical Financials'!J7/'Historical Financials'!J36</f>
        <v>4.2377940976472184</v>
      </c>
      <c r="K30" s="79">
        <f>'Historical Financials'!K7/'Historical Financials'!K36</f>
        <v>5.0909462834831043</v>
      </c>
      <c r="L30" s="79">
        <f>'Historical Financials'!L7/'Historical Financials'!L36</f>
        <v>4.5803591487067354</v>
      </c>
      <c r="N30" s="83">
        <f t="shared" si="1"/>
        <v>5.108247635827909</v>
      </c>
      <c r="O30" s="79">
        <f>MEDIAN(C30:L30)</f>
        <v>4.9482322179845344</v>
      </c>
    </row>
    <row r="31" spans="2:15" x14ac:dyDescent="0.25">
      <c r="B31" s="68" t="s">
        <v>151</v>
      </c>
      <c r="C31" s="79">
        <f>'Historical Financials'!C7/('Historical Financials'!C47-'Historical Financials'!C33)</f>
        <v>1.6289430213613325</v>
      </c>
      <c r="D31" s="79">
        <f>'Historical Financials'!D7/('Historical Financials'!D47-'Historical Financials'!D33)</f>
        <v>1.6192016362058099</v>
      </c>
      <c r="E31" s="79">
        <f>'Historical Financials'!E7/('Historical Financials'!E47-'Historical Financials'!E33)</f>
        <v>1.684460466274657</v>
      </c>
      <c r="F31" s="79">
        <f>'Historical Financials'!F7/('Historical Financials'!F47-'Historical Financials'!F33)</f>
        <v>1.6216422452044184</v>
      </c>
      <c r="G31" s="79">
        <f>'Historical Financials'!G7/('Historical Financials'!G47-'Historical Financials'!G33)</f>
        <v>1.3802111361841156</v>
      </c>
      <c r="H31" s="79">
        <f>'Historical Financials'!H7/('Historical Financials'!H47-'Historical Financials'!H33)</f>
        <v>1.1647618653535812</v>
      </c>
      <c r="I31" s="79">
        <f>'Historical Financials'!I7/('Historical Financials'!I47-'Historical Financials'!I33)</f>
        <v>1.3722626149639572</v>
      </c>
      <c r="J31" s="79">
        <f>'Historical Financials'!J7/('Historical Financials'!J47-'Historical Financials'!J33)</f>
        <v>1.3559741470330235</v>
      </c>
      <c r="K31" s="79">
        <f>'Historical Financials'!K7/('Historical Financials'!K47-'Historical Financials'!K33)</f>
        <v>1.4402300986122405</v>
      </c>
      <c r="L31" s="79">
        <f>'Historical Financials'!L7/('Historical Financials'!L47-'Historical Financials'!L33)</f>
        <v>1.3859263844716936</v>
      </c>
      <c r="N31" s="82">
        <f t="shared" si="1"/>
        <v>1.4653613615664829</v>
      </c>
      <c r="O31" s="79">
        <f>MEDIAN(C31:L31)</f>
        <v>1.4130782415419669</v>
      </c>
    </row>
    <row r="32" spans="2:15" x14ac:dyDescent="0.25"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76"/>
      <c r="O32" s="58"/>
    </row>
    <row r="33" spans="2:15" x14ac:dyDescent="0.25">
      <c r="B33" s="75" t="s">
        <v>152</v>
      </c>
      <c r="C33" s="81">
        <f>('Historical Financials'!C42/'Historical Financials'!C7)*365</f>
        <v>8.3877302957161959</v>
      </c>
      <c r="D33" s="81">
        <f>('Historical Financials'!D42/'Historical Financials'!D7)*365</f>
        <v>6.44707351105236</v>
      </c>
      <c r="E33" s="81">
        <f>('Historical Financials'!E42/'Historical Financials'!E7)*365</f>
        <v>6.7018546687482932</v>
      </c>
      <c r="F33" s="81">
        <f>('Historical Financials'!F42/'Historical Financials'!F7)*365</f>
        <v>9.8081411898662125</v>
      </c>
      <c r="G33" s="81">
        <f>('Historical Financials'!G42/'Historical Financials'!G7)*365</f>
        <v>9.5408472112080354</v>
      </c>
      <c r="H33" s="81">
        <f>('Historical Financials'!H42/'Historical Financials'!H7)*365</f>
        <v>6.6384854771784232</v>
      </c>
      <c r="I33" s="81">
        <f>('Historical Financials'!I42/'Historical Financials'!I7)*365</f>
        <v>8.4070438289229674</v>
      </c>
      <c r="J33" s="81">
        <f>('Historical Financials'!J42/'Historical Financials'!J7)*365</f>
        <v>10.125437146725064</v>
      </c>
      <c r="K33" s="81">
        <f>('Historical Financials'!K42/'Historical Financials'!K7)*365</f>
        <v>11.827529180547899</v>
      </c>
      <c r="L33" s="81">
        <f>('Historical Financials'!L42/'Historical Financials'!L7)*365</f>
        <v>15.610121441604049</v>
      </c>
      <c r="N33" s="84">
        <f t="shared" si="1"/>
        <v>9.3494263951569501</v>
      </c>
      <c r="O33" s="81">
        <f>MEDIAN(C33:L33)</f>
        <v>8.9739455200655023</v>
      </c>
    </row>
    <row r="34" spans="2:15" x14ac:dyDescent="0.25">
      <c r="B34" t="s">
        <v>153</v>
      </c>
      <c r="C34" s="81">
        <f>('Historical Financials'!C33/'Historical Financials'!C7)*365</f>
        <v>75.286756151348357</v>
      </c>
      <c r="D34" s="81">
        <f>('Historical Financials'!D33/'Historical Financials'!D7)*365</f>
        <v>77.207270323859888</v>
      </c>
      <c r="E34" s="81">
        <f>('Historical Financials'!E33/'Historical Financials'!E7)*365</f>
        <v>80.346337649449822</v>
      </c>
      <c r="F34" s="81">
        <f>('Historical Financials'!F33/'Historical Financials'!F7)*365</f>
        <v>70.893590570301569</v>
      </c>
      <c r="G34" s="81">
        <f>('Historical Financials'!G33/'Historical Financials'!G7)*365</f>
        <v>67.686611155167853</v>
      </c>
      <c r="H34" s="81">
        <f>('Historical Financials'!H33/'Historical Financials'!H7)*365</f>
        <v>95.096473029045626</v>
      </c>
      <c r="I34" s="81">
        <f>('Historical Financials'!I33/'Historical Financials'!I7)*365</f>
        <v>78.084887546445259</v>
      </c>
      <c r="J34" s="81">
        <f>('Historical Financials'!J33/'Historical Financials'!J7)*365</f>
        <v>74.776205367963328</v>
      </c>
      <c r="K34" s="81">
        <f>('Historical Financials'!K33/'Historical Financials'!K7)*365</f>
        <v>76.030624243082173</v>
      </c>
      <c r="L34" s="81">
        <f>('Historical Financials'!L33/'Historical Financials'!L7)*365</f>
        <v>85.08359982473695</v>
      </c>
      <c r="N34" s="84">
        <f t="shared" si="1"/>
        <v>78.049235586140071</v>
      </c>
      <c r="O34" s="81">
        <f>MEDIAN(C34:L34)</f>
        <v>76.61894728347103</v>
      </c>
    </row>
    <row r="35" spans="2:15" x14ac:dyDescent="0.25">
      <c r="B35" t="s">
        <v>154</v>
      </c>
      <c r="C35" s="81">
        <f>('Historical Financials'!C43/'Historical Financials'!C8)*365</f>
        <v>27.335601340722281</v>
      </c>
      <c r="D35" s="81">
        <f>('Historical Financials'!D43/'Historical Financials'!D8)*365</f>
        <v>23.823104151667867</v>
      </c>
      <c r="E35" s="81">
        <f>('Historical Financials'!E43/'Historical Financials'!E8)*365</f>
        <v>19.555361532593029</v>
      </c>
      <c r="F35" s="81">
        <f>('Historical Financials'!F43/'Historical Financials'!F8)*365</f>
        <v>18.895410253933331</v>
      </c>
      <c r="G35" s="81">
        <f>('Historical Financials'!G43/'Historical Financials'!G8)*365</f>
        <v>20.345690296598338</v>
      </c>
      <c r="H35" s="81">
        <f>('Historical Financials'!H43/'Historical Financials'!H8)*365</f>
        <v>20.082521889143131</v>
      </c>
      <c r="I35" s="81">
        <f>('Historical Financials'!I43/'Historical Financials'!I8)*365</f>
        <v>18.012169804467248</v>
      </c>
      <c r="J35" s="81">
        <f>('Historical Financials'!J43/'Historical Financials'!J8)*365</f>
        <v>21.426341466570907</v>
      </c>
      <c r="K35" s="81">
        <f>('Historical Financials'!K43/'Historical Financials'!K8)*365</f>
        <v>17.970679126641436</v>
      </c>
      <c r="L35" s="81">
        <f>('Historical Financials'!L43/'Historical Financials'!L8)*365</f>
        <v>22.034478783898955</v>
      </c>
      <c r="N35" s="84">
        <f t="shared" si="1"/>
        <v>20.948135864623652</v>
      </c>
      <c r="O35" s="81">
        <f>MEDIAN(C35:L35)</f>
        <v>20.214106092870736</v>
      </c>
    </row>
    <row r="36" spans="2:15" x14ac:dyDescent="0.25">
      <c r="B36" s="68" t="s">
        <v>155</v>
      </c>
      <c r="C36" s="81">
        <f>C33+C35-C34</f>
        <v>-39.563424514909883</v>
      </c>
      <c r="D36" s="81">
        <f t="shared" ref="D36:L36" si="3">D33+D35-D34</f>
        <v>-46.937092661139658</v>
      </c>
      <c r="E36" s="81">
        <f t="shared" si="3"/>
        <v>-54.0891214481085</v>
      </c>
      <c r="F36" s="81">
        <f t="shared" si="3"/>
        <v>-42.190039126502029</v>
      </c>
      <c r="G36" s="81">
        <f t="shared" si="3"/>
        <v>-37.800073647361479</v>
      </c>
      <c r="H36" s="81">
        <f t="shared" si="3"/>
        <v>-68.375465662724068</v>
      </c>
      <c r="I36" s="81">
        <f t="shared" si="3"/>
        <v>-51.665673913055045</v>
      </c>
      <c r="J36" s="81">
        <f t="shared" si="3"/>
        <v>-43.224426754667356</v>
      </c>
      <c r="K36" s="81">
        <f t="shared" si="3"/>
        <v>-46.232415935892838</v>
      </c>
      <c r="L36" s="81">
        <f t="shared" si="3"/>
        <v>-47.438999599233945</v>
      </c>
      <c r="N36" s="85">
        <f t="shared" si="1"/>
        <v>-47.751673326359487</v>
      </c>
      <c r="O36" s="81">
        <f>MEDIAN(C36:L36)</f>
        <v>-46.584754298516245</v>
      </c>
    </row>
    <row r="37" spans="2:15" x14ac:dyDescent="0.25"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76"/>
      <c r="O37" s="58"/>
    </row>
    <row r="38" spans="2:15" x14ac:dyDescent="0.25">
      <c r="B38" s="75" t="s">
        <v>156</v>
      </c>
      <c r="C38" s="88">
        <f>'Common Size Statement'!C38</f>
        <v>-8.6770042890135263E-2</v>
      </c>
      <c r="D38" s="88">
        <f>'Common Size Statement'!D38</f>
        <v>-6.5976353088051706E-2</v>
      </c>
      <c r="E38" s="88">
        <f>'Common Size Statement'!E38</f>
        <v>-9.0603362511182894E-2</v>
      </c>
      <c r="F38" s="88">
        <f>'Common Size Statement'!F38</f>
        <v>-0.1065895188135032</v>
      </c>
      <c r="G38" s="88">
        <f>'Common Size Statement'!G38</f>
        <v>-0.10974094633888448</v>
      </c>
      <c r="H38" s="88">
        <f>'Common Size Statement'!H38</f>
        <v>-5.0304098220883303E-2</v>
      </c>
      <c r="I38" s="88">
        <f>'Common Size Statement'!I38</f>
        <v>-6.2945914062977615E-3</v>
      </c>
      <c r="J38" s="88">
        <f>'Common Size Statement'!J38</f>
        <v>-6.1574243369853371E-2</v>
      </c>
      <c r="K38" s="88">
        <f>'Common Size Statement'!K38</f>
        <v>-1.6847809996179282E-3</v>
      </c>
      <c r="L38" s="88">
        <f>'Common Size Statement'!L38</f>
        <v>-5.7686396840033224E-2</v>
      </c>
      <c r="N38" s="91">
        <f t="shared" si="1"/>
        <v>-6.3722433447844312E-2</v>
      </c>
      <c r="O38" s="90">
        <f>MEDIAN(C38:L38)</f>
        <v>-6.3775298228952532E-2</v>
      </c>
    </row>
    <row r="39" spans="2:15" x14ac:dyDescent="0.25">
      <c r="B39" t="s">
        <v>157</v>
      </c>
      <c r="C39" s="88">
        <f>IFERROR('Historical Financials'!C58/'Historical Financials'!C47,"-")</f>
        <v>1.570962182578834E-2</v>
      </c>
      <c r="D39" s="88">
        <f>IFERROR('Historical Financials'!D58/'Historical Financials'!D47,"-")</f>
        <v>1.3197449792118022E-2</v>
      </c>
      <c r="E39" s="88">
        <f>IFERROR('Historical Financials'!E58/'Historical Financials'!E47,"-")</f>
        <v>2.2479522079201824E-2</v>
      </c>
      <c r="F39" s="88">
        <f>IFERROR('Historical Financials'!F58/'Historical Financials'!F47,"-")</f>
        <v>3.1407656189328559E-2</v>
      </c>
      <c r="G39" s="88">
        <f>IFERROR('Historical Financials'!G58/'Historical Financials'!G47,"-")</f>
        <v>4.078532077044749E-2</v>
      </c>
      <c r="H39" s="88">
        <f>IFERROR('Historical Financials'!H58/'Historical Financials'!H47,"-")</f>
        <v>-1.6697967419281517E-2</v>
      </c>
      <c r="I39" s="88">
        <f>IFERROR('Historical Financials'!I58/'Historical Financials'!I47,"-")</f>
        <v>-3.0865494898786396E-2</v>
      </c>
      <c r="J39" s="88">
        <f>IFERROR('Historical Financials'!J58/'Historical Financials'!J47,"-")</f>
        <v>3.8859035621977574E-2</v>
      </c>
      <c r="K39" s="88">
        <f>IFERROR('Historical Financials'!K58/'Historical Financials'!K47,"-")</f>
        <v>-2.1968598882904946E-2</v>
      </c>
      <c r="L39" s="88">
        <f>IFERROR('Historical Financials'!L58/'Historical Financials'!L47,"-")</f>
        <v>-6.6448551010566011E-4</v>
      </c>
      <c r="N39" s="91">
        <f t="shared" si="1"/>
        <v>9.2242059567783294E-3</v>
      </c>
      <c r="O39" s="90">
        <f>MEDIAN(C39:L39)</f>
        <v>1.4453535808953182E-2</v>
      </c>
    </row>
    <row r="40" spans="2:15" x14ac:dyDescent="0.25">
      <c r="B40" s="68" t="s">
        <v>158</v>
      </c>
      <c r="C40" s="88">
        <f>IFERROR('Historical Financials'!C58/SUM('Historical Financials'!C32:C33),"-")</f>
        <v>6.1274206201742433E-2</v>
      </c>
      <c r="D40" s="88">
        <f>IFERROR('Historical Financials'!D58/SUM('Historical Financials'!D32:D33),"-")</f>
        <v>5.0049041342523547E-2</v>
      </c>
      <c r="E40" s="88">
        <f>IFERROR('Historical Financials'!E58/SUM('Historical Financials'!E32:E33),"-")</f>
        <v>8.2537169992650802E-2</v>
      </c>
      <c r="F40" s="88">
        <f>IFERROR('Historical Financials'!F58/SUM('Historical Financials'!F32:F33),"-")</f>
        <v>0.12988398137065524</v>
      </c>
      <c r="G40" s="88">
        <f>IFERROR('Historical Financials'!G58/SUM('Historical Financials'!G32:G33),"-")</f>
        <v>0.19754198118848795</v>
      </c>
      <c r="H40" s="88">
        <f>IFERROR('Historical Financials'!H58/SUM('Historical Financials'!H32:H33),"-")</f>
        <v>-6.9667028687981775E-2</v>
      </c>
      <c r="I40" s="88">
        <f>IFERROR('Historical Financials'!I58/SUM('Historical Financials'!I32:I33),"-")</f>
        <v>-0.13300900527895662</v>
      </c>
      <c r="J40" s="88">
        <f>IFERROR('Historical Financials'!J58/SUM('Historical Financials'!J32:J33),"-")</f>
        <v>0.17000054889476118</v>
      </c>
      <c r="K40" s="88">
        <f>IFERROR('Historical Financials'!K58/SUM('Historical Financials'!K32:K33),"-")</f>
        <v>-9.4815643738560954E-2</v>
      </c>
      <c r="L40" s="88">
        <f>IFERROR('Historical Financials'!L58/SUM('Historical Financials'!L32:L33),"-")</f>
        <v>-2.7146611291311122E-3</v>
      </c>
      <c r="N40" s="92">
        <f t="shared" si="1"/>
        <v>3.9108059015619069E-2</v>
      </c>
      <c r="O40" s="90">
        <f>MEDIAN(C40:L40)</f>
        <v>5.566162377213299E-2</v>
      </c>
    </row>
    <row r="41" spans="2:15" x14ac:dyDescent="0.25"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high="1" low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manualMax="0" manualMin="0" displayEmptyCellsAs="gap" markers="1" high="1" low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manualMax="0" manualMin="0" displayEmptyCellsAs="gap" markers="1" high="1" low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manualMax="0" manualMin="0" displayEmptyCellsAs="gap" markers="1" high="1" low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manualMax="0" manualMin="0" displayEmptyCellsAs="gap" markers="1" high="1" low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manualMax="0" manualMin="0" displayEmptyCellsAs="gap" markers="1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manualMax="0" manualMin="0" displayEmptyCellsAs="gap" markers="1" high="1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"/>
  <sheetViews>
    <sheetView workbookViewId="0">
      <pane ySplit="1" topLeftCell="A10" activePane="bottomLeft" state="frozen"/>
      <selection pane="bottomLeft" activeCell="E34" sqref="E34"/>
    </sheetView>
  </sheetViews>
  <sheetFormatPr defaultRowHeight="15" x14ac:dyDescent="0.25"/>
  <cols>
    <col min="1" max="1" width="36.85546875" bestFit="1" customWidth="1"/>
    <col min="2" max="4" width="9.28515625" bestFit="1" customWidth="1"/>
    <col min="5" max="7" width="9.7109375" bestFit="1" customWidth="1"/>
    <col min="8" max="10" width="9.28515625" bestFit="1" customWidth="1"/>
    <col min="11" max="11" width="9.7109375" bestFit="1" customWidth="1"/>
    <col min="12" max="13" width="10.5703125" bestFit="1" customWidth="1"/>
  </cols>
  <sheetData>
    <row r="2" spans="1:13" ht="15.75" thickBot="1" x14ac:dyDescent="0.3">
      <c r="A2" s="36"/>
      <c r="B2" s="36">
        <v>41699</v>
      </c>
      <c r="C2" s="36">
        <v>42064</v>
      </c>
      <c r="D2" s="36">
        <v>42430</v>
      </c>
      <c r="E2" s="36">
        <v>42795</v>
      </c>
      <c r="F2" s="36">
        <v>43160</v>
      </c>
      <c r="G2" s="36">
        <v>43525</v>
      </c>
      <c r="H2" s="36">
        <v>43891</v>
      </c>
      <c r="I2" s="36">
        <v>44256</v>
      </c>
      <c r="J2" s="36">
        <v>44621</v>
      </c>
      <c r="K2" s="36">
        <v>44986</v>
      </c>
      <c r="L2" s="36">
        <v>45352</v>
      </c>
      <c r="M2" s="36">
        <v>45717</v>
      </c>
    </row>
    <row r="3" spans="1:13" ht="16.5" thickTop="1" thickBot="1" x14ac:dyDescent="0.3">
      <c r="A3" s="37" t="s">
        <v>81</v>
      </c>
      <c r="B3" s="38">
        <v>4995</v>
      </c>
      <c r="C3" s="38">
        <v>6449</v>
      </c>
      <c r="D3" s="38">
        <v>8482</v>
      </c>
      <c r="E3" s="38">
        <v>10282</v>
      </c>
      <c r="F3" s="38">
        <v>11788</v>
      </c>
      <c r="G3" s="38">
        <v>6601</v>
      </c>
      <c r="H3" s="38">
        <v>3496</v>
      </c>
      <c r="I3" s="38">
        <v>8856</v>
      </c>
      <c r="J3" s="38">
        <v>1840</v>
      </c>
      <c r="K3" s="38">
        <v>10815</v>
      </c>
      <c r="L3" s="38">
        <v>16801</v>
      </c>
      <c r="M3" s="38">
        <v>16136</v>
      </c>
    </row>
    <row r="4" spans="1:13" ht="15.75" thickTop="1" x14ac:dyDescent="0.25">
      <c r="A4" s="39" t="s">
        <v>82</v>
      </c>
      <c r="B4" s="38">
        <v>5111</v>
      </c>
      <c r="C4" s="38">
        <v>6779</v>
      </c>
      <c r="D4" s="38">
        <v>8935</v>
      </c>
      <c r="E4" s="38">
        <v>10413</v>
      </c>
      <c r="F4" s="38">
        <v>12036</v>
      </c>
      <c r="G4" s="38">
        <v>11060</v>
      </c>
      <c r="H4" s="38">
        <v>7503</v>
      </c>
      <c r="I4" s="38">
        <v>5531</v>
      </c>
      <c r="J4" s="38">
        <v>5832</v>
      </c>
      <c r="K4" s="38">
        <v>13176</v>
      </c>
      <c r="L4" s="38">
        <v>18676</v>
      </c>
      <c r="M4" s="38">
        <v>20322</v>
      </c>
    </row>
    <row r="5" spans="1:13" x14ac:dyDescent="0.25">
      <c r="A5" s="40" t="s">
        <v>54</v>
      </c>
      <c r="B5" s="41">
        <v>46</v>
      </c>
      <c r="C5" s="41">
        <v>345</v>
      </c>
      <c r="D5" s="41">
        <v>-204</v>
      </c>
      <c r="E5" s="41">
        <v>122</v>
      </c>
      <c r="F5" s="41">
        <v>-262</v>
      </c>
      <c r="G5" s="41">
        <v>-851</v>
      </c>
      <c r="H5" s="41">
        <v>340</v>
      </c>
      <c r="I5" s="41">
        <v>696</v>
      </c>
      <c r="J5" s="41">
        <v>-764</v>
      </c>
      <c r="K5" s="42">
        <v>-1270</v>
      </c>
      <c r="L5" s="42">
        <v>-1316</v>
      </c>
      <c r="M5" s="42">
        <v>-1969</v>
      </c>
    </row>
    <row r="6" spans="1:13" x14ac:dyDescent="0.25">
      <c r="A6" s="40" t="s">
        <v>55</v>
      </c>
      <c r="B6" s="41">
        <v>124</v>
      </c>
      <c r="C6" s="41">
        <v>-982</v>
      </c>
      <c r="D6" s="41">
        <v>-450</v>
      </c>
      <c r="E6" s="41">
        <v>-131</v>
      </c>
      <c r="F6" s="41">
        <v>104</v>
      </c>
      <c r="G6" s="41">
        <v>-162</v>
      </c>
      <c r="H6" s="41">
        <v>109</v>
      </c>
      <c r="I6" s="41">
        <v>165</v>
      </c>
      <c r="J6" s="41">
        <v>-483</v>
      </c>
      <c r="K6" s="42">
        <v>-1050</v>
      </c>
      <c r="L6" s="41">
        <v>125</v>
      </c>
      <c r="M6" s="42">
        <v>-1595</v>
      </c>
    </row>
    <row r="7" spans="1:13" x14ac:dyDescent="0.25">
      <c r="A7" s="40" t="s">
        <v>83</v>
      </c>
      <c r="B7" s="41">
        <v>813</v>
      </c>
      <c r="C7" s="41">
        <v>712</v>
      </c>
      <c r="D7" s="42">
        <v>1789</v>
      </c>
      <c r="E7" s="41">
        <v>979</v>
      </c>
      <c r="F7" s="42">
        <v>2128</v>
      </c>
      <c r="G7" s="41">
        <v>-858</v>
      </c>
      <c r="H7" s="42">
        <v>-2155</v>
      </c>
      <c r="I7" s="42">
        <v>2680</v>
      </c>
      <c r="J7" s="41">
        <v>-396</v>
      </c>
      <c r="K7" s="42">
        <v>2491</v>
      </c>
      <c r="L7" s="42">
        <v>3321</v>
      </c>
      <c r="M7" s="42">
        <v>3509</v>
      </c>
    </row>
    <row r="8" spans="1:13" x14ac:dyDescent="0.25">
      <c r="A8" s="40" t="s">
        <v>84</v>
      </c>
      <c r="B8" s="41">
        <v>-563</v>
      </c>
      <c r="C8" s="41">
        <v>23</v>
      </c>
      <c r="D8" s="41">
        <v>-1</v>
      </c>
      <c r="E8" s="41">
        <v>1</v>
      </c>
      <c r="F8" s="41">
        <v>0</v>
      </c>
      <c r="G8" s="41">
        <v>-13</v>
      </c>
      <c r="H8" s="41">
        <v>-1</v>
      </c>
      <c r="I8" s="41">
        <v>-6</v>
      </c>
      <c r="J8" s="41">
        <v>-8</v>
      </c>
      <c r="K8" s="41">
        <v>1</v>
      </c>
      <c r="L8" s="41">
        <v>-3</v>
      </c>
      <c r="M8" s="41">
        <v>-10</v>
      </c>
    </row>
    <row r="9" spans="1:13" x14ac:dyDescent="0.25">
      <c r="A9" s="40" t="s">
        <v>85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-3</v>
      </c>
    </row>
    <row r="10" spans="1:13" ht="15.75" thickBot="1" x14ac:dyDescent="0.3">
      <c r="A10" s="40" t="s">
        <v>86</v>
      </c>
      <c r="B10" s="41">
        <v>321</v>
      </c>
      <c r="C10" s="41">
        <v>648</v>
      </c>
      <c r="D10" s="41">
        <v>325</v>
      </c>
      <c r="E10" s="42">
        <v>1222</v>
      </c>
      <c r="F10" s="41">
        <v>839</v>
      </c>
      <c r="G10" s="41">
        <v>569</v>
      </c>
      <c r="H10" s="41">
        <v>-863</v>
      </c>
      <c r="I10" s="41">
        <v>801</v>
      </c>
      <c r="J10" s="42">
        <v>-1162</v>
      </c>
      <c r="K10" s="41">
        <v>-269</v>
      </c>
      <c r="L10" s="41">
        <v>-406</v>
      </c>
      <c r="M10" s="41">
        <v>-310</v>
      </c>
    </row>
    <row r="11" spans="1:13" ht="15.75" thickTop="1" x14ac:dyDescent="0.25">
      <c r="A11" s="39" t="s">
        <v>87</v>
      </c>
      <c r="B11" s="43">
        <v>742</v>
      </c>
      <c r="C11" s="43">
        <v>745</v>
      </c>
      <c r="D11" s="38">
        <v>1460</v>
      </c>
      <c r="E11" s="38">
        <v>2192</v>
      </c>
      <c r="F11" s="38">
        <v>2808</v>
      </c>
      <c r="G11" s="38">
        <v>-1315</v>
      </c>
      <c r="H11" s="38">
        <v>-2570</v>
      </c>
      <c r="I11" s="38">
        <v>4336</v>
      </c>
      <c r="J11" s="38">
        <v>-2813</v>
      </c>
      <c r="K11" s="43">
        <v>-97</v>
      </c>
      <c r="L11" s="38">
        <v>1722</v>
      </c>
      <c r="M11" s="43">
        <v>-378</v>
      </c>
    </row>
    <row r="12" spans="1:13" ht="15.75" thickBot="1" x14ac:dyDescent="0.3">
      <c r="A12" s="40" t="s">
        <v>88</v>
      </c>
      <c r="B12" s="41">
        <v>-858</v>
      </c>
      <c r="C12" s="42">
        <v>-1075</v>
      </c>
      <c r="D12" s="42">
        <v>-1912</v>
      </c>
      <c r="E12" s="42">
        <v>-2323</v>
      </c>
      <c r="F12" s="42">
        <v>-3056</v>
      </c>
      <c r="G12" s="42">
        <v>-3144</v>
      </c>
      <c r="H12" s="42">
        <v>-1438</v>
      </c>
      <c r="I12" s="42">
        <v>-1011</v>
      </c>
      <c r="J12" s="42">
        <v>-1178</v>
      </c>
      <c r="K12" s="42">
        <v>-2265</v>
      </c>
      <c r="L12" s="42">
        <v>-3597</v>
      </c>
      <c r="M12" s="42">
        <v>-3807</v>
      </c>
    </row>
    <row r="13" spans="1:13" ht="15.75" thickTop="1" x14ac:dyDescent="0.25">
      <c r="A13" s="44" t="s">
        <v>89</v>
      </c>
      <c r="B13" s="45">
        <v>-4997</v>
      </c>
      <c r="C13" s="45">
        <v>-4491</v>
      </c>
      <c r="D13" s="45">
        <v>-7230</v>
      </c>
      <c r="E13" s="45">
        <v>-9173</v>
      </c>
      <c r="F13" s="45">
        <v>-8302</v>
      </c>
      <c r="G13" s="45">
        <v>-3540</v>
      </c>
      <c r="H13" s="46">
        <v>-557</v>
      </c>
      <c r="I13" s="45">
        <v>-7291</v>
      </c>
      <c r="J13" s="46">
        <v>-239</v>
      </c>
      <c r="K13" s="45">
        <v>-8820</v>
      </c>
      <c r="L13" s="45">
        <v>-11865</v>
      </c>
      <c r="M13" s="45">
        <v>-14456</v>
      </c>
    </row>
    <row r="14" spans="1:13" x14ac:dyDescent="0.25">
      <c r="A14" s="47" t="s">
        <v>90</v>
      </c>
      <c r="B14" s="48">
        <v>-3545</v>
      </c>
      <c r="C14" s="48">
        <v>-3058</v>
      </c>
      <c r="D14" s="48">
        <v>-2469</v>
      </c>
      <c r="E14" s="48">
        <v>-3391</v>
      </c>
      <c r="F14" s="48">
        <v>-3912</v>
      </c>
      <c r="G14" s="48">
        <v>-4872</v>
      </c>
      <c r="H14" s="48">
        <v>-3437</v>
      </c>
      <c r="I14" s="48">
        <v>-2370</v>
      </c>
      <c r="J14" s="48">
        <v>-3459</v>
      </c>
      <c r="K14" s="48">
        <v>-8065</v>
      </c>
      <c r="L14" s="48">
        <v>-9200</v>
      </c>
      <c r="M14" s="48">
        <v>-10641</v>
      </c>
    </row>
    <row r="15" spans="1:13" x14ac:dyDescent="0.25">
      <c r="A15" s="47" t="s">
        <v>91</v>
      </c>
      <c r="B15" s="49">
        <v>9</v>
      </c>
      <c r="C15" s="49">
        <v>16</v>
      </c>
      <c r="D15" s="49">
        <v>12</v>
      </c>
      <c r="E15" s="49">
        <v>16</v>
      </c>
      <c r="F15" s="49">
        <v>26</v>
      </c>
      <c r="G15" s="49">
        <v>170</v>
      </c>
      <c r="H15" s="49">
        <v>37</v>
      </c>
      <c r="I15" s="49">
        <v>42</v>
      </c>
      <c r="J15" s="49">
        <v>136</v>
      </c>
      <c r="K15" s="49">
        <v>109</v>
      </c>
      <c r="L15" s="49">
        <v>45</v>
      </c>
      <c r="M15" s="49">
        <v>38</v>
      </c>
    </row>
    <row r="16" spans="1:13" x14ac:dyDescent="0.25">
      <c r="A16" s="47" t="s">
        <v>92</v>
      </c>
      <c r="B16" s="48">
        <v>-13100</v>
      </c>
      <c r="C16" s="48">
        <v>-17354</v>
      </c>
      <c r="D16" s="48">
        <v>-12044</v>
      </c>
      <c r="E16" s="48">
        <v>-17716</v>
      </c>
      <c r="F16" s="48">
        <v>-47069</v>
      </c>
      <c r="G16" s="48">
        <v>-52957</v>
      </c>
      <c r="H16" s="48">
        <v>-44205</v>
      </c>
      <c r="I16" s="48">
        <v>-44869</v>
      </c>
      <c r="J16" s="48">
        <v>-60525</v>
      </c>
      <c r="K16" s="48">
        <v>-66597</v>
      </c>
      <c r="L16" s="48">
        <v>-65736</v>
      </c>
      <c r="M16" s="48">
        <v>-73882</v>
      </c>
    </row>
    <row r="17" spans="1:13" x14ac:dyDescent="0.25">
      <c r="A17" s="47" t="s">
        <v>93</v>
      </c>
      <c r="B17" s="48">
        <v>10450</v>
      </c>
      <c r="C17" s="48">
        <v>15270</v>
      </c>
      <c r="D17" s="48">
        <v>7378</v>
      </c>
      <c r="E17" s="48">
        <v>11839</v>
      </c>
      <c r="F17" s="48">
        <v>42564</v>
      </c>
      <c r="G17" s="48">
        <v>53986</v>
      </c>
      <c r="H17" s="48">
        <v>46969</v>
      </c>
      <c r="I17" s="48">
        <v>42920</v>
      </c>
      <c r="J17" s="48">
        <v>63579</v>
      </c>
      <c r="K17" s="48">
        <v>61605</v>
      </c>
      <c r="L17" s="48">
        <v>61933</v>
      </c>
      <c r="M17" s="48">
        <v>69795</v>
      </c>
    </row>
    <row r="18" spans="1:13" x14ac:dyDescent="0.25">
      <c r="A18" s="47" t="s">
        <v>94</v>
      </c>
      <c r="B18" s="49">
        <v>195</v>
      </c>
      <c r="C18" s="49">
        <v>152</v>
      </c>
      <c r="D18" s="49">
        <v>67</v>
      </c>
      <c r="E18" s="49">
        <v>36</v>
      </c>
      <c r="F18" s="49">
        <v>68</v>
      </c>
      <c r="G18" s="49">
        <v>124</v>
      </c>
      <c r="H18" s="49">
        <v>96</v>
      </c>
      <c r="I18" s="49">
        <v>67</v>
      </c>
      <c r="J18" s="49">
        <v>174</v>
      </c>
      <c r="K18" s="49">
        <v>313</v>
      </c>
      <c r="L18" s="49">
        <v>372</v>
      </c>
      <c r="M18" s="49">
        <v>444</v>
      </c>
    </row>
    <row r="19" spans="1:13" x14ac:dyDescent="0.25">
      <c r="A19" s="47" t="s">
        <v>95</v>
      </c>
      <c r="B19" s="49">
        <v>54</v>
      </c>
      <c r="C19" s="49">
        <v>54</v>
      </c>
      <c r="D19" s="49">
        <v>11</v>
      </c>
      <c r="E19" s="49">
        <v>13</v>
      </c>
      <c r="F19" s="49">
        <v>20</v>
      </c>
      <c r="G19" s="49">
        <v>9</v>
      </c>
      <c r="H19" s="49">
        <v>4</v>
      </c>
      <c r="I19" s="49">
        <v>3</v>
      </c>
      <c r="J19" s="49">
        <v>3</v>
      </c>
      <c r="K19" s="49">
        <v>6</v>
      </c>
      <c r="L19" s="49">
        <v>6</v>
      </c>
      <c r="M19" s="49">
        <v>9</v>
      </c>
    </row>
    <row r="20" spans="1:13" x14ac:dyDescent="0.25">
      <c r="A20" s="47" t="s">
        <v>96</v>
      </c>
      <c r="B20" s="49">
        <v>0</v>
      </c>
      <c r="C20" s="49">
        <v>0</v>
      </c>
      <c r="D20" s="49">
        <v>0</v>
      </c>
      <c r="E20" s="49">
        <v>22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</row>
    <row r="21" spans="1:13" x14ac:dyDescent="0.25">
      <c r="A21" s="47" t="s">
        <v>97</v>
      </c>
      <c r="B21" s="49">
        <v>0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-15</v>
      </c>
      <c r="I21" s="49">
        <v>-65</v>
      </c>
      <c r="J21" s="49">
        <v>-146</v>
      </c>
      <c r="K21" s="49">
        <v>0</v>
      </c>
      <c r="L21" s="49">
        <v>-80</v>
      </c>
      <c r="M21" s="49">
        <v>0</v>
      </c>
    </row>
    <row r="22" spans="1:13" ht="15.75" thickBot="1" x14ac:dyDescent="0.3">
      <c r="A22" s="47" t="s">
        <v>98</v>
      </c>
      <c r="B22" s="49">
        <v>940</v>
      </c>
      <c r="C22" s="49">
        <v>428</v>
      </c>
      <c r="D22" s="49">
        <v>-186</v>
      </c>
      <c r="E22" s="49">
        <v>7</v>
      </c>
      <c r="F22" s="49">
        <v>0</v>
      </c>
      <c r="G22" s="49">
        <v>0</v>
      </c>
      <c r="H22" s="49">
        <v>-5</v>
      </c>
      <c r="I22" s="48">
        <v>-3019</v>
      </c>
      <c r="J22" s="49">
        <v>-1</v>
      </c>
      <c r="K22" s="48">
        <v>3808</v>
      </c>
      <c r="L22" s="49">
        <v>795</v>
      </c>
      <c r="M22" s="49">
        <v>-219</v>
      </c>
    </row>
    <row r="23" spans="1:13" ht="15.75" thickTop="1" x14ac:dyDescent="0.25">
      <c r="A23" s="37" t="s">
        <v>99</v>
      </c>
      <c r="B23" s="43">
        <v>-74</v>
      </c>
      <c r="C23" s="38">
        <v>-2004</v>
      </c>
      <c r="D23" s="38">
        <v>-1237</v>
      </c>
      <c r="E23" s="38">
        <v>-1129</v>
      </c>
      <c r="F23" s="38">
        <v>-3436</v>
      </c>
      <c r="G23" s="38">
        <v>-2948</v>
      </c>
      <c r="H23" s="38">
        <v>-3104</v>
      </c>
      <c r="I23" s="38">
        <v>-1545</v>
      </c>
      <c r="J23" s="38">
        <v>-1607</v>
      </c>
      <c r="K23" s="38">
        <v>-1214</v>
      </c>
      <c r="L23" s="38">
        <v>-4062</v>
      </c>
      <c r="M23" s="38">
        <v>-4155</v>
      </c>
    </row>
    <row r="24" spans="1:13" x14ac:dyDescent="0.25">
      <c r="A24" s="40" t="s">
        <v>100</v>
      </c>
      <c r="B24" s="42">
        <v>1264</v>
      </c>
      <c r="C24" s="41">
        <v>92</v>
      </c>
      <c r="D24" s="41">
        <v>77</v>
      </c>
      <c r="E24" s="41">
        <v>484</v>
      </c>
      <c r="F24" s="41">
        <v>10</v>
      </c>
      <c r="G24" s="41">
        <v>39</v>
      </c>
      <c r="H24" s="41">
        <v>0</v>
      </c>
      <c r="I24" s="41">
        <v>380</v>
      </c>
      <c r="J24" s="41">
        <v>0</v>
      </c>
      <c r="K24" s="41">
        <v>831</v>
      </c>
      <c r="L24" s="41">
        <v>0</v>
      </c>
      <c r="M24" s="41">
        <v>0</v>
      </c>
    </row>
    <row r="25" spans="1:13" x14ac:dyDescent="0.25">
      <c r="A25" s="40" t="s">
        <v>101</v>
      </c>
      <c r="B25" s="41">
        <v>-885</v>
      </c>
      <c r="C25" s="42">
        <v>-1449</v>
      </c>
      <c r="D25" s="41">
        <v>-313</v>
      </c>
      <c r="E25" s="41">
        <v>-231</v>
      </c>
      <c r="F25" s="41">
        <v>-373</v>
      </c>
      <c r="G25" s="41">
        <v>0</v>
      </c>
      <c r="H25" s="41">
        <v>-46</v>
      </c>
      <c r="I25" s="41">
        <v>0</v>
      </c>
      <c r="J25" s="41">
        <v>-110</v>
      </c>
      <c r="K25" s="41">
        <v>0</v>
      </c>
      <c r="L25" s="42">
        <v>-1183</v>
      </c>
      <c r="M25" s="41">
        <v>-33</v>
      </c>
    </row>
    <row r="26" spans="1:13" x14ac:dyDescent="0.25">
      <c r="A26" s="40" t="s">
        <v>102</v>
      </c>
      <c r="B26" s="41">
        <v>-170</v>
      </c>
      <c r="C26" s="41">
        <v>-222</v>
      </c>
      <c r="D26" s="41">
        <v>-92</v>
      </c>
      <c r="E26" s="41">
        <v>-110</v>
      </c>
      <c r="F26" s="41">
        <v>-346</v>
      </c>
      <c r="G26" s="41">
        <v>-73</v>
      </c>
      <c r="H26" s="41">
        <v>-136</v>
      </c>
      <c r="I26" s="41">
        <v>-102</v>
      </c>
      <c r="J26" s="41">
        <v>-130</v>
      </c>
      <c r="K26" s="41">
        <v>-186</v>
      </c>
      <c r="L26" s="41">
        <v>-147</v>
      </c>
      <c r="M26" s="41">
        <v>-167</v>
      </c>
    </row>
    <row r="27" spans="1:13" x14ac:dyDescent="0.25">
      <c r="A27" s="40" t="s">
        <v>103</v>
      </c>
      <c r="B27" s="41">
        <v>-242</v>
      </c>
      <c r="C27" s="41">
        <v>-362</v>
      </c>
      <c r="D27" s="41">
        <v>-755</v>
      </c>
      <c r="E27" s="42">
        <v>-1057</v>
      </c>
      <c r="F27" s="42">
        <v>-2266</v>
      </c>
      <c r="G27" s="42">
        <v>-2417</v>
      </c>
      <c r="H27" s="42">
        <v>-2417</v>
      </c>
      <c r="I27" s="42">
        <v>-1812</v>
      </c>
      <c r="J27" s="42">
        <v>-1359</v>
      </c>
      <c r="K27" s="42">
        <v>-1812</v>
      </c>
      <c r="L27" s="42">
        <v>-2719</v>
      </c>
      <c r="M27" s="42">
        <v>-3930</v>
      </c>
    </row>
    <row r="28" spans="1:13" x14ac:dyDescent="0.25">
      <c r="A28" s="40" t="s">
        <v>104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-10</v>
      </c>
      <c r="I28" s="41">
        <v>-11</v>
      </c>
      <c r="J28" s="41">
        <v>-8</v>
      </c>
      <c r="K28" s="41">
        <v>-47</v>
      </c>
      <c r="L28" s="41">
        <v>-13</v>
      </c>
      <c r="M28" s="41">
        <v>-51</v>
      </c>
    </row>
    <row r="29" spans="1:13" ht="15.75" thickBot="1" x14ac:dyDescent="0.3">
      <c r="A29" s="40" t="s">
        <v>105</v>
      </c>
      <c r="B29" s="41">
        <v>-41</v>
      </c>
      <c r="C29" s="41">
        <v>-62</v>
      </c>
      <c r="D29" s="41">
        <v>-154</v>
      </c>
      <c r="E29" s="41">
        <v>-215</v>
      </c>
      <c r="F29" s="41">
        <v>-461</v>
      </c>
      <c r="G29" s="41">
        <v>-497</v>
      </c>
      <c r="H29" s="41">
        <v>-497</v>
      </c>
      <c r="I29" s="41">
        <v>0</v>
      </c>
      <c r="J29" s="41">
        <v>0</v>
      </c>
      <c r="K29" s="41">
        <v>0</v>
      </c>
      <c r="L29" s="41">
        <v>0</v>
      </c>
      <c r="M29" s="41">
        <v>25</v>
      </c>
    </row>
    <row r="30" spans="1:13" ht="15.75" thickTop="1" x14ac:dyDescent="0.25">
      <c r="A30" s="44" t="s">
        <v>64</v>
      </c>
      <c r="B30" s="46">
        <v>-76</v>
      </c>
      <c r="C30" s="46">
        <v>-45</v>
      </c>
      <c r="D30" s="46">
        <v>16</v>
      </c>
      <c r="E30" s="46">
        <v>-20</v>
      </c>
      <c r="F30" s="46">
        <v>50</v>
      </c>
      <c r="G30" s="46">
        <v>113</v>
      </c>
      <c r="H30" s="46">
        <v>-165</v>
      </c>
      <c r="I30" s="46">
        <v>20</v>
      </c>
      <c r="J30" s="46">
        <v>-6</v>
      </c>
      <c r="K30" s="46">
        <v>780</v>
      </c>
      <c r="L30" s="46">
        <v>874</v>
      </c>
      <c r="M30" s="45">
        <v>-2475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>
      <selection activeCell="M16" sqref="M16"/>
    </sheetView>
  </sheetViews>
  <sheetFormatPr defaultRowHeight="15" x14ac:dyDescent="0.25"/>
  <cols>
    <col min="1" max="1" width="15.42578125" bestFit="1" customWidth="1"/>
    <col min="2" max="2" width="11.140625" bestFit="1" customWidth="1"/>
  </cols>
  <sheetData>
    <row r="5" spans="1:1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5">
      <c r="A6" t="s">
        <v>13</v>
      </c>
      <c r="B6" s="6">
        <v>48565</v>
      </c>
      <c r="C6" s="6">
        <v>57664</v>
      </c>
      <c r="D6" s="6">
        <v>67692</v>
      </c>
      <c r="E6" s="6">
        <v>75012</v>
      </c>
      <c r="F6" s="6">
        <v>68305</v>
      </c>
      <c r="G6" s="6">
        <v>64961</v>
      </c>
      <c r="H6" s="6">
        <v>82578</v>
      </c>
      <c r="I6" s="6">
        <v>105288</v>
      </c>
      <c r="J6" s="6">
        <v>123232</v>
      </c>
      <c r="K6" s="6">
        <v>132757</v>
      </c>
    </row>
    <row r="7" spans="1:11" x14ac:dyDescent="0.25">
      <c r="A7" t="s">
        <v>14</v>
      </c>
      <c r="B7" s="6">
        <v>9024</v>
      </c>
      <c r="C7" s="6">
        <v>10421</v>
      </c>
      <c r="D7" s="6">
        <v>12118</v>
      </c>
      <c r="E7" s="6">
        <v>11056</v>
      </c>
      <c r="F7" s="6">
        <v>7355</v>
      </c>
      <c r="G7" s="6">
        <v>5411</v>
      </c>
      <c r="H7" s="6">
        <v>5752</v>
      </c>
      <c r="I7" s="6">
        <v>13122</v>
      </c>
      <c r="J7" s="6">
        <v>18626</v>
      </c>
      <c r="K7" s="6">
        <v>20156</v>
      </c>
    </row>
    <row r="8" spans="1:11" x14ac:dyDescent="0.25">
      <c r="A8" s="1" t="s">
        <v>2</v>
      </c>
      <c r="B8" s="7">
        <f>B6-B7</f>
        <v>39541</v>
      </c>
      <c r="C8" s="7">
        <f t="shared" ref="C8:K8" si="0">C6-C7</f>
        <v>47243</v>
      </c>
      <c r="D8" s="7">
        <f t="shared" si="0"/>
        <v>55574</v>
      </c>
      <c r="E8" s="7">
        <f t="shared" si="0"/>
        <v>63956</v>
      </c>
      <c r="F8" s="7">
        <f t="shared" si="0"/>
        <v>60950</v>
      </c>
      <c r="G8" s="7">
        <f t="shared" si="0"/>
        <v>59550</v>
      </c>
      <c r="H8" s="7">
        <f t="shared" si="0"/>
        <v>76826</v>
      </c>
      <c r="I8" s="7">
        <f t="shared" si="0"/>
        <v>92166</v>
      </c>
      <c r="J8" s="7">
        <f t="shared" si="0"/>
        <v>104606</v>
      </c>
      <c r="K8" s="7">
        <f t="shared" si="0"/>
        <v>112601</v>
      </c>
    </row>
    <row r="9" spans="1:11" x14ac:dyDescent="0.25">
      <c r="A9" s="1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9" t="s">
        <v>15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t="s">
        <v>13</v>
      </c>
      <c r="B11" s="6">
        <v>48565</v>
      </c>
      <c r="C11" s="6">
        <v>57664</v>
      </c>
      <c r="D11" s="6">
        <v>67692</v>
      </c>
      <c r="E11" s="6">
        <v>75012</v>
      </c>
      <c r="F11" s="6">
        <v>68305</v>
      </c>
      <c r="G11" s="6">
        <v>64961</v>
      </c>
      <c r="H11" s="6">
        <v>82578</v>
      </c>
      <c r="I11" s="6">
        <v>105288</v>
      </c>
      <c r="J11" s="6">
        <v>123232</v>
      </c>
      <c r="K11" s="6">
        <v>132757</v>
      </c>
    </row>
    <row r="12" spans="1:11" x14ac:dyDescent="0.25">
      <c r="A12" t="s">
        <v>2</v>
      </c>
      <c r="B12" s="8">
        <v>39541</v>
      </c>
      <c r="C12" s="8">
        <v>47243</v>
      </c>
      <c r="D12" s="8">
        <v>55574</v>
      </c>
      <c r="E12" s="8">
        <v>63956</v>
      </c>
      <c r="F12" s="8">
        <v>60950</v>
      </c>
      <c r="G12" s="8">
        <v>59550</v>
      </c>
      <c r="H12" s="8">
        <v>76826</v>
      </c>
      <c r="I12" s="8">
        <v>92166</v>
      </c>
      <c r="J12" s="8">
        <v>104606</v>
      </c>
      <c r="K12" s="8">
        <v>112601</v>
      </c>
    </row>
    <row r="13" spans="1:11" x14ac:dyDescent="0.25">
      <c r="A13" s="1" t="s">
        <v>15</v>
      </c>
      <c r="B13" s="7">
        <f>B11-B12</f>
        <v>9024</v>
      </c>
      <c r="C13" s="7">
        <f t="shared" ref="C13:K13" si="1">C11-C12</f>
        <v>10421</v>
      </c>
      <c r="D13" s="7">
        <f t="shared" si="1"/>
        <v>12118</v>
      </c>
      <c r="E13" s="7">
        <f t="shared" si="1"/>
        <v>11056</v>
      </c>
      <c r="F13" s="7">
        <f t="shared" si="1"/>
        <v>7355</v>
      </c>
      <c r="G13" s="7">
        <f t="shared" si="1"/>
        <v>5411</v>
      </c>
      <c r="H13" s="7">
        <f t="shared" si="1"/>
        <v>5752</v>
      </c>
      <c r="I13" s="7">
        <f t="shared" si="1"/>
        <v>13122</v>
      </c>
      <c r="J13" s="7">
        <f t="shared" si="1"/>
        <v>18626</v>
      </c>
      <c r="K13" s="7">
        <f t="shared" si="1"/>
        <v>20156</v>
      </c>
    </row>
    <row r="15" spans="1:11" x14ac:dyDescent="0.25">
      <c r="B15" s="6">
        <v>7585</v>
      </c>
      <c r="C15" s="6">
        <v>10127</v>
      </c>
      <c r="D15" s="6">
        <v>11167</v>
      </c>
      <c r="E15" s="6">
        <v>10624</v>
      </c>
      <c r="F15" s="6">
        <v>7103</v>
      </c>
      <c r="G15" s="6">
        <v>5321</v>
      </c>
      <c r="H15" s="6">
        <v>4697</v>
      </c>
      <c r="I15" s="6">
        <v>10438</v>
      </c>
      <c r="J15" s="6">
        <v>17424</v>
      </c>
      <c r="K15" s="6">
        <v>19620</v>
      </c>
    </row>
    <row r="16" spans="1:11" x14ac:dyDescent="0.25">
      <c r="B16" s="11">
        <v>0.28000000000000003</v>
      </c>
      <c r="C16" s="11">
        <v>0.26</v>
      </c>
      <c r="D16" s="11">
        <v>0.28999999999999998</v>
      </c>
      <c r="E16" s="11">
        <v>0.28000000000000003</v>
      </c>
      <c r="F16" s="11">
        <v>0.2</v>
      </c>
      <c r="G16" s="11">
        <v>0.18</v>
      </c>
      <c r="H16" s="11">
        <v>0.17</v>
      </c>
      <c r="I16" s="11">
        <v>0.21</v>
      </c>
      <c r="J16" s="11">
        <v>0.23</v>
      </c>
      <c r="K16" s="11">
        <v>0.26</v>
      </c>
    </row>
    <row r="17" spans="2:11" x14ac:dyDescent="0.25">
      <c r="B17" s="12"/>
    </row>
    <row r="18" spans="2:11" x14ac:dyDescent="0.25">
      <c r="B18">
        <v>9709</v>
      </c>
      <c r="C18">
        <v>12760</v>
      </c>
      <c r="D18">
        <v>14405</v>
      </c>
      <c r="E18">
        <v>13599</v>
      </c>
      <c r="F18">
        <v>8524</v>
      </c>
      <c r="G18">
        <v>6279</v>
      </c>
      <c r="H18">
        <v>5495</v>
      </c>
      <c r="I18">
        <v>12630</v>
      </c>
      <c r="J18">
        <v>21432</v>
      </c>
      <c r="K18">
        <v>24721</v>
      </c>
    </row>
    <row r="19" spans="2:11" x14ac:dyDescent="0.25">
      <c r="B19" s="7">
        <f>B18-B15</f>
        <v>2124</v>
      </c>
      <c r="C19" s="7">
        <f t="shared" ref="C19:K19" si="2">C18-C15</f>
        <v>2633</v>
      </c>
      <c r="D19" s="7">
        <f t="shared" si="2"/>
        <v>3238</v>
      </c>
      <c r="E19" s="7">
        <f t="shared" si="2"/>
        <v>2975</v>
      </c>
      <c r="F19" s="7">
        <f t="shared" si="2"/>
        <v>1421</v>
      </c>
      <c r="G19" s="7">
        <f t="shared" si="2"/>
        <v>958</v>
      </c>
      <c r="H19" s="7">
        <f t="shared" si="2"/>
        <v>798</v>
      </c>
      <c r="I19" s="7">
        <f t="shared" si="2"/>
        <v>2192</v>
      </c>
      <c r="J19" s="7">
        <f t="shared" si="2"/>
        <v>4008</v>
      </c>
      <c r="K19" s="7">
        <f t="shared" si="2"/>
        <v>5101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opLeftCell="A7" zoomScaleNormal="100" workbookViewId="0">
      <selection activeCell="F22" sqref="F22"/>
    </sheetView>
  </sheetViews>
  <sheetFormatPr defaultRowHeight="15" x14ac:dyDescent="0.25"/>
  <cols>
    <col min="1" max="1" width="27.7109375" bestFit="1" customWidth="1"/>
    <col min="2" max="2" width="26.7109375" bestFit="1" customWidth="1"/>
    <col min="3" max="10" width="10.7109375" bestFit="1" customWidth="1"/>
    <col min="11" max="11" width="9.7109375" bestFit="1" customWidth="1"/>
  </cols>
  <sheetData>
    <row r="1" spans="1:11" x14ac:dyDescent="0.25">
      <c r="A1" s="14" t="s">
        <v>17</v>
      </c>
      <c r="B1" s="14" t="s">
        <v>18</v>
      </c>
      <c r="C1" s="14"/>
      <c r="D1" s="14"/>
      <c r="E1" s="168" t="s">
        <v>19</v>
      </c>
      <c r="F1" s="168"/>
      <c r="G1" s="168"/>
      <c r="H1" s="168"/>
      <c r="I1" s="168"/>
      <c r="J1" s="168"/>
      <c r="K1" s="168"/>
    </row>
    <row r="2" spans="1:11" x14ac:dyDescent="0.25">
      <c r="A2" s="14" t="s">
        <v>20</v>
      </c>
      <c r="B2" s="15">
        <v>2.1</v>
      </c>
      <c r="C2" s="13"/>
      <c r="D2" s="13"/>
      <c r="E2" s="169" t="s">
        <v>21</v>
      </c>
      <c r="F2" s="169"/>
      <c r="G2" s="169"/>
      <c r="H2" s="169"/>
      <c r="I2" s="169"/>
      <c r="J2" s="169"/>
      <c r="K2" s="169"/>
    </row>
    <row r="3" spans="1:11" x14ac:dyDescent="0.25">
      <c r="A3" s="14" t="s">
        <v>22</v>
      </c>
      <c r="B3" s="15">
        <v>2.1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5">
      <c r="A5" s="14" t="s">
        <v>23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x14ac:dyDescent="0.25">
      <c r="A6" s="15" t="s">
        <v>24</v>
      </c>
      <c r="B6" s="15" t="s">
        <v>19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25">
      <c r="A7" s="15" t="s">
        <v>25</v>
      </c>
      <c r="B7" s="13">
        <v>5</v>
      </c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25">
      <c r="A8" s="15" t="s">
        <v>26</v>
      </c>
      <c r="B8" s="13">
        <v>12642</v>
      </c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5">
      <c r="A9" s="15" t="s">
        <v>27</v>
      </c>
      <c r="B9" s="13">
        <v>397467.73</v>
      </c>
      <c r="C9" s="13"/>
      <c r="D9" s="13"/>
      <c r="E9" s="13"/>
      <c r="F9" s="13"/>
      <c r="G9" s="13"/>
      <c r="H9" s="13"/>
      <c r="I9" s="13"/>
      <c r="J9" s="13"/>
      <c r="K9" s="13"/>
    </row>
    <row r="15" spans="1:11" x14ac:dyDescent="0.25">
      <c r="A15" s="14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17" t="s">
        <v>29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x14ac:dyDescent="0.25">
      <c r="A17" s="15" t="s">
        <v>30</v>
      </c>
      <c r="B17" s="13">
        <v>57589</v>
      </c>
      <c r="C17" s="13">
        <v>68085</v>
      </c>
      <c r="D17" s="13">
        <v>79809.399999999994</v>
      </c>
      <c r="E17" s="13">
        <v>86068.5</v>
      </c>
      <c r="F17" s="13">
        <v>75660</v>
      </c>
      <c r="G17" s="13">
        <v>70372</v>
      </c>
      <c r="H17" s="13">
        <v>88329.8</v>
      </c>
      <c r="I17" s="13">
        <v>118409.9</v>
      </c>
      <c r="J17" s="13">
        <v>141858.20000000001</v>
      </c>
      <c r="K17" s="13">
        <v>152913</v>
      </c>
    </row>
    <row r="18" spans="1:11" x14ac:dyDescent="0.25">
      <c r="A18" s="15" t="s">
        <v>31</v>
      </c>
      <c r="B18" s="13">
        <v>38701.199999999997</v>
      </c>
      <c r="C18" s="13">
        <v>47121.5</v>
      </c>
      <c r="D18" s="13">
        <v>54945.3</v>
      </c>
      <c r="E18" s="13">
        <v>59346.6</v>
      </c>
      <c r="F18" s="13">
        <v>53402</v>
      </c>
      <c r="G18" s="13">
        <v>50550.5</v>
      </c>
      <c r="H18" s="13">
        <v>66137.100000000006</v>
      </c>
      <c r="I18" s="13">
        <v>86066.9</v>
      </c>
      <c r="J18" s="13">
        <v>100119.5</v>
      </c>
      <c r="K18" s="13">
        <v>108718.3</v>
      </c>
    </row>
    <row r="19" spans="1:11" x14ac:dyDescent="0.25">
      <c r="A19" s="15" t="s">
        <v>32</v>
      </c>
      <c r="B19" s="13">
        <v>-4.8</v>
      </c>
      <c r="C19" s="13">
        <v>379.3</v>
      </c>
      <c r="D19" s="13">
        <v>-40.799999999999997</v>
      </c>
      <c r="E19" s="13">
        <v>-211.6</v>
      </c>
      <c r="F19" s="13">
        <v>238.7</v>
      </c>
      <c r="G19" s="13">
        <v>-273.60000000000002</v>
      </c>
      <c r="H19" s="13">
        <v>93.1</v>
      </c>
      <c r="I19" s="13">
        <v>580.5</v>
      </c>
      <c r="J19" s="13">
        <v>378.6</v>
      </c>
      <c r="K19" s="13">
        <v>1227.5</v>
      </c>
    </row>
    <row r="20" spans="1:11" x14ac:dyDescent="0.25">
      <c r="A20" s="15" t="s">
        <v>33</v>
      </c>
      <c r="B20" s="13">
        <v>694.1</v>
      </c>
      <c r="C20" s="13">
        <v>518.6</v>
      </c>
      <c r="D20" s="13">
        <v>673.4</v>
      </c>
      <c r="E20" s="13">
        <v>863.3</v>
      </c>
      <c r="F20" s="13">
        <v>699.5</v>
      </c>
      <c r="G20" s="13">
        <v>476.6</v>
      </c>
      <c r="H20" s="13">
        <v>630.9</v>
      </c>
      <c r="I20" s="13">
        <v>1091.9000000000001</v>
      </c>
      <c r="J20" s="13">
        <v>1033.4000000000001</v>
      </c>
      <c r="K20" s="15"/>
    </row>
    <row r="21" spans="1:11" x14ac:dyDescent="0.25">
      <c r="A21" s="15" t="s">
        <v>34</v>
      </c>
      <c r="B21" s="13">
        <v>427.8</v>
      </c>
      <c r="C21" s="13">
        <v>382.9</v>
      </c>
      <c r="D21" s="13">
        <v>462.1</v>
      </c>
      <c r="E21" s="13">
        <v>475.7</v>
      </c>
      <c r="F21" s="13">
        <v>378.1</v>
      </c>
      <c r="G21" s="13">
        <v>683.3</v>
      </c>
      <c r="H21" s="13">
        <v>852.5</v>
      </c>
      <c r="I21" s="13">
        <v>843.8</v>
      </c>
      <c r="J21" s="13">
        <v>939.3</v>
      </c>
      <c r="K21" s="15"/>
    </row>
    <row r="22" spans="1:11" x14ac:dyDescent="0.25">
      <c r="A22" s="15" t="s">
        <v>35</v>
      </c>
      <c r="B22" s="13">
        <v>2000.3</v>
      </c>
      <c r="C22" s="13">
        <v>2360.3000000000002</v>
      </c>
      <c r="D22" s="13">
        <v>2863.4</v>
      </c>
      <c r="E22" s="13">
        <v>3285</v>
      </c>
      <c r="F22" s="13">
        <v>3416.2</v>
      </c>
      <c r="G22" s="13">
        <v>3431.6</v>
      </c>
      <c r="H22" s="13">
        <v>4051.4</v>
      </c>
      <c r="I22" s="13">
        <v>5308.5</v>
      </c>
      <c r="J22" s="13">
        <v>6301.6</v>
      </c>
      <c r="K22" s="13">
        <v>7026</v>
      </c>
    </row>
    <row r="23" spans="1:11" x14ac:dyDescent="0.25">
      <c r="A23" s="15" t="s">
        <v>36</v>
      </c>
      <c r="B23" s="13">
        <v>5367.3</v>
      </c>
      <c r="C23" s="13">
        <v>6111.3</v>
      </c>
      <c r="D23" s="13">
        <v>6755.3</v>
      </c>
      <c r="E23" s="13">
        <v>8390.2999999999993</v>
      </c>
      <c r="F23" s="13">
        <v>8456.2999999999993</v>
      </c>
      <c r="G23" s="13">
        <v>7924</v>
      </c>
      <c r="H23" s="13">
        <v>9119.1</v>
      </c>
      <c r="I23" s="13">
        <v>10316.299999999999</v>
      </c>
      <c r="J23" s="13">
        <v>12082.6</v>
      </c>
      <c r="K23" s="15"/>
    </row>
    <row r="24" spans="1:11" x14ac:dyDescent="0.25">
      <c r="A24" s="15" t="s">
        <v>37</v>
      </c>
      <c r="B24" s="13">
        <v>1369.4</v>
      </c>
      <c r="C24" s="13">
        <v>1548.4</v>
      </c>
      <c r="D24" s="13">
        <v>1951.2</v>
      </c>
      <c r="E24" s="13">
        <v>2439.6999999999998</v>
      </c>
      <c r="F24" s="13">
        <v>2191.6</v>
      </c>
      <c r="G24" s="13">
        <v>1621.8</v>
      </c>
      <c r="H24" s="13">
        <v>1879.9</v>
      </c>
      <c r="I24" s="13">
        <v>2241.5</v>
      </c>
      <c r="J24" s="13">
        <v>3134.1</v>
      </c>
      <c r="K24" s="13">
        <v>18239.900000000001</v>
      </c>
    </row>
    <row r="25" spans="1:11" x14ac:dyDescent="0.25">
      <c r="A25" s="15" t="s">
        <v>7</v>
      </c>
      <c r="B25" s="13">
        <v>1464.1</v>
      </c>
      <c r="C25" s="13">
        <v>2399.1999999999998</v>
      </c>
      <c r="D25" s="13">
        <v>2154.6</v>
      </c>
      <c r="E25" s="13">
        <v>2664.2</v>
      </c>
      <c r="F25" s="13">
        <v>3410.4</v>
      </c>
      <c r="G25" s="13">
        <v>3046.3</v>
      </c>
      <c r="H25" s="13">
        <v>1860.8</v>
      </c>
      <c r="I25" s="13">
        <v>2415</v>
      </c>
      <c r="J25" s="13">
        <v>4247.6000000000004</v>
      </c>
      <c r="K25" s="13">
        <v>5266.1</v>
      </c>
    </row>
    <row r="26" spans="1:11" x14ac:dyDescent="0.25">
      <c r="A26" s="15" t="s">
        <v>4</v>
      </c>
      <c r="B26" s="13">
        <v>2821.8</v>
      </c>
      <c r="C26" s="13">
        <v>2603.9</v>
      </c>
      <c r="D26" s="13">
        <v>2759.8</v>
      </c>
      <c r="E26" s="13">
        <v>3020.8</v>
      </c>
      <c r="F26" s="13">
        <v>3528.4</v>
      </c>
      <c r="G26" s="13">
        <v>3034.1</v>
      </c>
      <c r="H26" s="13">
        <v>2789</v>
      </c>
      <c r="I26" s="13">
        <v>4846</v>
      </c>
      <c r="J26" s="13">
        <v>5255.8</v>
      </c>
      <c r="K26" s="13">
        <v>5608.2</v>
      </c>
    </row>
    <row r="27" spans="1:11" x14ac:dyDescent="0.25">
      <c r="A27" s="15" t="s">
        <v>5</v>
      </c>
      <c r="B27" s="13">
        <v>81.7</v>
      </c>
      <c r="C27" s="13">
        <v>89.4</v>
      </c>
      <c r="D27" s="13">
        <v>345.8</v>
      </c>
      <c r="E27" s="13">
        <v>75.900000000000006</v>
      </c>
      <c r="F27" s="13">
        <v>134.19999999999999</v>
      </c>
      <c r="G27" s="13">
        <v>101.8</v>
      </c>
      <c r="H27" s="13">
        <v>126.6</v>
      </c>
      <c r="I27" s="13">
        <v>252.3</v>
      </c>
      <c r="J27" s="13">
        <v>193.6</v>
      </c>
      <c r="K27" s="13">
        <v>194.2</v>
      </c>
    </row>
    <row r="28" spans="1:11" x14ac:dyDescent="0.25">
      <c r="A28" s="15" t="s">
        <v>38</v>
      </c>
      <c r="B28" s="13">
        <v>7584.7</v>
      </c>
      <c r="C28" s="13">
        <v>10127.200000000001</v>
      </c>
      <c r="D28" s="13">
        <v>11166.9</v>
      </c>
      <c r="E28" s="13">
        <v>10623.8</v>
      </c>
      <c r="F28" s="13">
        <v>7102.8</v>
      </c>
      <c r="G28" s="13">
        <v>5321</v>
      </c>
      <c r="H28" s="13">
        <v>4697.2</v>
      </c>
      <c r="I28" s="13">
        <v>10438.200000000001</v>
      </c>
      <c r="J28" s="13">
        <v>17424.5</v>
      </c>
      <c r="K28" s="13">
        <v>19620</v>
      </c>
    </row>
    <row r="29" spans="1:11" x14ac:dyDescent="0.25">
      <c r="A29" s="15" t="s">
        <v>39</v>
      </c>
      <c r="B29" s="13">
        <v>2087.5</v>
      </c>
      <c r="C29" s="13">
        <v>2616.1999999999998</v>
      </c>
      <c r="D29" s="13">
        <v>3286.2</v>
      </c>
      <c r="E29" s="13">
        <v>2973.2</v>
      </c>
      <c r="F29" s="13">
        <v>1425.2</v>
      </c>
      <c r="G29" s="13">
        <v>931.9</v>
      </c>
      <c r="H29" s="13">
        <v>817.7</v>
      </c>
      <c r="I29" s="13">
        <v>2174.5</v>
      </c>
      <c r="J29" s="13">
        <v>3936.3</v>
      </c>
      <c r="K29" s="13">
        <v>5119.8</v>
      </c>
    </row>
    <row r="30" spans="1:11" x14ac:dyDescent="0.25">
      <c r="A30" s="15" t="s">
        <v>40</v>
      </c>
      <c r="B30" s="13">
        <v>5497.2</v>
      </c>
      <c r="C30" s="13">
        <v>7509.9</v>
      </c>
      <c r="D30" s="13">
        <v>7880</v>
      </c>
      <c r="E30" s="13">
        <v>7649.1</v>
      </c>
      <c r="F30" s="13">
        <v>5676</v>
      </c>
      <c r="G30" s="13">
        <v>4389.1000000000004</v>
      </c>
      <c r="H30" s="13">
        <v>3879.5</v>
      </c>
      <c r="I30" s="13">
        <v>8263.7000000000007</v>
      </c>
      <c r="J30" s="13">
        <v>13488.2</v>
      </c>
      <c r="K30" s="13">
        <v>14500.2</v>
      </c>
    </row>
    <row r="31" spans="1:11" x14ac:dyDescent="0.25">
      <c r="A31" s="15" t="s">
        <v>41</v>
      </c>
      <c r="B31" s="13">
        <v>1057</v>
      </c>
      <c r="C31" s="13">
        <v>2265</v>
      </c>
      <c r="D31" s="13">
        <v>2416</v>
      </c>
      <c r="E31" s="13">
        <v>2416</v>
      </c>
      <c r="F31" s="13">
        <v>1812</v>
      </c>
      <c r="G31" s="13">
        <v>1359</v>
      </c>
      <c r="H31" s="13">
        <v>1812</v>
      </c>
      <c r="I31" s="13">
        <v>2829.6</v>
      </c>
      <c r="J31" s="13">
        <v>3930</v>
      </c>
      <c r="K31" s="13">
        <v>4244.3999999999996</v>
      </c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x14ac:dyDescent="0.25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5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5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 s="15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 s="15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x14ac:dyDescent="0.25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4" t="s">
        <v>42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x14ac:dyDescent="0.25">
      <c r="A41" s="17" t="s">
        <v>29</v>
      </c>
      <c r="B41" s="16">
        <v>44926</v>
      </c>
      <c r="C41" s="16">
        <v>45016</v>
      </c>
      <c r="D41" s="16">
        <v>45107</v>
      </c>
      <c r="E41" s="16">
        <v>45199</v>
      </c>
      <c r="F41" s="16">
        <v>45291</v>
      </c>
      <c r="G41" s="16">
        <v>45382</v>
      </c>
      <c r="H41" s="16">
        <v>45473</v>
      </c>
      <c r="I41" s="16">
        <v>45565</v>
      </c>
      <c r="J41" s="16">
        <v>45657</v>
      </c>
      <c r="K41" s="16">
        <v>45747</v>
      </c>
    </row>
    <row r="42" spans="1:11" x14ac:dyDescent="0.25">
      <c r="A42" s="15" t="s">
        <v>30</v>
      </c>
      <c r="B42" s="13">
        <v>29251.1</v>
      </c>
      <c r="C42" s="13">
        <v>32213.5</v>
      </c>
      <c r="D42" s="13">
        <v>32534.799999999999</v>
      </c>
      <c r="E42" s="13">
        <v>37339.4</v>
      </c>
      <c r="F42" s="13">
        <v>33512.800000000003</v>
      </c>
      <c r="G42" s="13">
        <v>38471.199999999997</v>
      </c>
      <c r="H42" s="13">
        <v>35779.4</v>
      </c>
      <c r="I42" s="13">
        <v>37449.199999999997</v>
      </c>
      <c r="J42" s="13">
        <v>38764.300000000003</v>
      </c>
      <c r="K42" s="13">
        <v>40920.1</v>
      </c>
    </row>
    <row r="43" spans="1:11" x14ac:dyDescent="0.25">
      <c r="A43" s="15" t="s">
        <v>43</v>
      </c>
      <c r="B43" s="13">
        <v>25878</v>
      </c>
      <c r="C43" s="13">
        <v>28319.8</v>
      </c>
      <c r="D43" s="13">
        <v>29014.9</v>
      </c>
      <c r="E43" s="13">
        <v>32027.9</v>
      </c>
      <c r="F43" s="13">
        <v>29072.799999999999</v>
      </c>
      <c r="G43" s="13">
        <v>33250.1</v>
      </c>
      <c r="H43" s="13">
        <v>30672.799999999999</v>
      </c>
      <c r="I43" s="13">
        <v>32450.400000000001</v>
      </c>
      <c r="J43" s="13">
        <v>33687.800000000003</v>
      </c>
      <c r="K43" s="13">
        <v>36076.1</v>
      </c>
    </row>
    <row r="44" spans="1:11" x14ac:dyDescent="0.25">
      <c r="A44" s="15" t="s">
        <v>7</v>
      </c>
      <c r="B44" s="13">
        <v>892.9</v>
      </c>
      <c r="C44" s="13">
        <v>850.4</v>
      </c>
      <c r="D44" s="13">
        <v>1109.7</v>
      </c>
      <c r="E44" s="13">
        <v>957.8</v>
      </c>
      <c r="F44" s="13">
        <v>1052.9000000000001</v>
      </c>
      <c r="G44" s="13">
        <v>1261</v>
      </c>
      <c r="H44" s="13">
        <v>1118.0999999999999</v>
      </c>
      <c r="I44" s="13">
        <v>1570.5</v>
      </c>
      <c r="J44" s="13">
        <v>1124.8</v>
      </c>
      <c r="K44" s="13">
        <v>1583.1</v>
      </c>
    </row>
    <row r="45" spans="1:11" x14ac:dyDescent="0.25">
      <c r="A45" s="15" t="s">
        <v>4</v>
      </c>
      <c r="B45" s="13">
        <v>1209.3</v>
      </c>
      <c r="C45" s="13">
        <v>1239.9000000000001</v>
      </c>
      <c r="D45" s="13">
        <v>1314.1</v>
      </c>
      <c r="E45" s="13">
        <v>1341.9</v>
      </c>
      <c r="F45" s="13">
        <v>1301.5</v>
      </c>
      <c r="G45" s="13">
        <v>1298.3</v>
      </c>
      <c r="H45" s="13">
        <v>1331.7</v>
      </c>
      <c r="I45" s="13">
        <v>1385.7</v>
      </c>
      <c r="J45" s="13">
        <v>1429</v>
      </c>
      <c r="K45" s="13">
        <v>1461.8</v>
      </c>
    </row>
    <row r="46" spans="1:11" x14ac:dyDescent="0.25">
      <c r="A46" s="15" t="s">
        <v>5</v>
      </c>
      <c r="B46" s="13">
        <v>29.6</v>
      </c>
      <c r="C46" s="13">
        <v>163.5</v>
      </c>
      <c r="D46" s="13">
        <v>46.5</v>
      </c>
      <c r="E46" s="13">
        <v>35.1</v>
      </c>
      <c r="F46" s="13">
        <v>35.799999999999997</v>
      </c>
      <c r="G46" s="13">
        <v>76.2</v>
      </c>
      <c r="H46" s="13">
        <v>57.3</v>
      </c>
      <c r="I46" s="13">
        <v>43</v>
      </c>
      <c r="J46" s="13">
        <v>46.3</v>
      </c>
      <c r="K46" s="13">
        <v>47.6</v>
      </c>
    </row>
    <row r="47" spans="1:11" x14ac:dyDescent="0.25">
      <c r="A47" s="15" t="s">
        <v>38</v>
      </c>
      <c r="B47" s="13">
        <v>3027.1</v>
      </c>
      <c r="C47" s="13">
        <v>3340.7</v>
      </c>
      <c r="D47" s="13">
        <v>3269</v>
      </c>
      <c r="E47" s="13">
        <v>4892.3</v>
      </c>
      <c r="F47" s="13">
        <v>4155.6000000000004</v>
      </c>
      <c r="G47" s="13">
        <v>5107.6000000000004</v>
      </c>
      <c r="H47" s="13">
        <v>4835.7</v>
      </c>
      <c r="I47" s="13">
        <v>5140.6000000000004</v>
      </c>
      <c r="J47" s="13">
        <v>4726</v>
      </c>
      <c r="K47" s="13">
        <v>4917.7</v>
      </c>
    </row>
    <row r="48" spans="1:11" x14ac:dyDescent="0.25">
      <c r="A48" s="15" t="s">
        <v>39</v>
      </c>
      <c r="B48" s="13">
        <v>621</v>
      </c>
      <c r="C48" s="13">
        <v>653</v>
      </c>
      <c r="D48" s="13">
        <v>726.1</v>
      </c>
      <c r="E48" s="13">
        <v>1106.0999999999999</v>
      </c>
      <c r="F48" s="13">
        <v>948.8</v>
      </c>
      <c r="G48" s="13">
        <v>1155.3</v>
      </c>
      <c r="H48" s="13">
        <v>1076</v>
      </c>
      <c r="I48" s="13">
        <v>2038.1</v>
      </c>
      <c r="J48" s="13">
        <v>999.1</v>
      </c>
      <c r="K48" s="13">
        <v>1006.6</v>
      </c>
    </row>
    <row r="49" spans="1:11" x14ac:dyDescent="0.25">
      <c r="A49" s="15" t="s">
        <v>40</v>
      </c>
      <c r="B49" s="13">
        <v>2406.1</v>
      </c>
      <c r="C49" s="13">
        <v>2687.7</v>
      </c>
      <c r="D49" s="13">
        <v>2542.9</v>
      </c>
      <c r="E49" s="13">
        <v>3786.2</v>
      </c>
      <c r="F49" s="13">
        <v>3206.8</v>
      </c>
      <c r="G49" s="13">
        <v>3952.3</v>
      </c>
      <c r="H49" s="13">
        <v>3759.7</v>
      </c>
      <c r="I49" s="13">
        <v>3102.5</v>
      </c>
      <c r="J49" s="13">
        <v>3726.9</v>
      </c>
      <c r="K49" s="13">
        <v>3911.1</v>
      </c>
    </row>
    <row r="50" spans="1:11" x14ac:dyDescent="0.25">
      <c r="A50" s="15" t="s">
        <v>14</v>
      </c>
      <c r="B50" s="13">
        <v>3373.1</v>
      </c>
      <c r="C50" s="13">
        <v>3893.7</v>
      </c>
      <c r="D50" s="13">
        <v>3519.9</v>
      </c>
      <c r="E50" s="13">
        <v>5311.5</v>
      </c>
      <c r="F50" s="13">
        <v>4440</v>
      </c>
      <c r="G50" s="13">
        <v>5221.1000000000004</v>
      </c>
      <c r="H50" s="13">
        <v>5106.6000000000004</v>
      </c>
      <c r="I50" s="13">
        <v>4998.8</v>
      </c>
      <c r="J50" s="13">
        <v>5076.5</v>
      </c>
      <c r="K50" s="13">
        <v>4844</v>
      </c>
    </row>
    <row r="51" spans="1:11" x14ac:dyDescent="0.25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x14ac:dyDescent="0.25">
      <c r="A52" s="15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 x14ac:dyDescent="0.25">
      <c r="A53" s="15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x14ac:dyDescent="0.25">
      <c r="A54" s="15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x14ac:dyDescent="0.25">
      <c r="A55" s="14" t="s">
        <v>44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x14ac:dyDescent="0.25">
      <c r="A56" s="17" t="s">
        <v>29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5">
      <c r="A57" s="15" t="s">
        <v>45</v>
      </c>
      <c r="B57" s="13">
        <v>151</v>
      </c>
      <c r="C57" s="13">
        <v>151</v>
      </c>
      <c r="D57" s="13">
        <v>151</v>
      </c>
      <c r="E57" s="13">
        <v>151</v>
      </c>
      <c r="F57" s="13">
        <v>151</v>
      </c>
      <c r="G57" s="13">
        <v>151</v>
      </c>
      <c r="H57" s="13">
        <v>151</v>
      </c>
      <c r="I57" s="13">
        <v>157.19999999999999</v>
      </c>
      <c r="J57" s="13">
        <v>157.19999999999999</v>
      </c>
      <c r="K57" s="13">
        <v>157.19999999999999</v>
      </c>
    </row>
    <row r="58" spans="1:11" x14ac:dyDescent="0.25">
      <c r="A58" s="15" t="s">
        <v>46</v>
      </c>
      <c r="B58" s="13">
        <v>30465</v>
      </c>
      <c r="C58" s="13">
        <v>36924.1</v>
      </c>
      <c r="D58" s="13">
        <v>42408.4</v>
      </c>
      <c r="E58" s="13">
        <v>46941.1</v>
      </c>
      <c r="F58" s="13">
        <v>49262</v>
      </c>
      <c r="G58" s="13">
        <v>52349.599999999999</v>
      </c>
      <c r="H58" s="13">
        <v>55182.5</v>
      </c>
      <c r="I58" s="13">
        <v>74443</v>
      </c>
      <c r="J58" s="13">
        <v>85478.8</v>
      </c>
      <c r="K58" s="13">
        <v>96082.7</v>
      </c>
    </row>
    <row r="59" spans="1:11" x14ac:dyDescent="0.25">
      <c r="A59" s="15" t="s">
        <v>47</v>
      </c>
      <c r="B59" s="13">
        <v>230.9</v>
      </c>
      <c r="C59" s="13">
        <v>483.6</v>
      </c>
      <c r="D59" s="13">
        <v>120.8</v>
      </c>
      <c r="E59" s="13">
        <v>159.6</v>
      </c>
      <c r="F59" s="13">
        <v>184.1</v>
      </c>
      <c r="G59" s="13">
        <v>540.9</v>
      </c>
      <c r="H59" s="13">
        <v>425.5</v>
      </c>
      <c r="I59" s="13">
        <v>1247.5999999999999</v>
      </c>
      <c r="J59" s="13">
        <v>118.6</v>
      </c>
      <c r="K59" s="13">
        <v>87</v>
      </c>
    </row>
    <row r="60" spans="1:11" x14ac:dyDescent="0.25">
      <c r="A60" s="15" t="s">
        <v>48</v>
      </c>
      <c r="B60" s="13">
        <v>11878.6</v>
      </c>
      <c r="C60" s="13">
        <v>14401.8</v>
      </c>
      <c r="D60" s="13">
        <v>17568.2</v>
      </c>
      <c r="E60" s="13">
        <v>16717</v>
      </c>
      <c r="F60" s="13">
        <v>14030.6</v>
      </c>
      <c r="G60" s="13">
        <v>18334.599999999999</v>
      </c>
      <c r="H60" s="13">
        <v>18896.5</v>
      </c>
      <c r="I60" s="13">
        <v>24258.2</v>
      </c>
      <c r="J60" s="13">
        <v>29549.5</v>
      </c>
      <c r="K60" s="13">
        <v>35644.9</v>
      </c>
    </row>
    <row r="61" spans="1:11" x14ac:dyDescent="0.25">
      <c r="A61" s="14" t="s">
        <v>49</v>
      </c>
      <c r="B61" s="13">
        <v>42725.5</v>
      </c>
      <c r="C61" s="13">
        <v>51960.5</v>
      </c>
      <c r="D61" s="13">
        <v>60248.4</v>
      </c>
      <c r="E61" s="13">
        <v>63968.7</v>
      </c>
      <c r="F61" s="13">
        <v>63627.7</v>
      </c>
      <c r="G61" s="13">
        <v>71376.100000000006</v>
      </c>
      <c r="H61" s="13">
        <v>74655.5</v>
      </c>
      <c r="I61" s="13">
        <v>100106</v>
      </c>
      <c r="J61" s="13">
        <v>115304.1</v>
      </c>
      <c r="K61" s="13">
        <v>131971.79999999999</v>
      </c>
    </row>
    <row r="62" spans="1:11" x14ac:dyDescent="0.25">
      <c r="A62" s="15" t="s">
        <v>50</v>
      </c>
      <c r="B62" s="13">
        <v>12529.6</v>
      </c>
      <c r="C62" s="13">
        <v>13310.7</v>
      </c>
      <c r="D62" s="13">
        <v>13388.8</v>
      </c>
      <c r="E62" s="13">
        <v>15437.3</v>
      </c>
      <c r="F62" s="13">
        <v>15744.4</v>
      </c>
      <c r="G62" s="13">
        <v>14988.7</v>
      </c>
      <c r="H62" s="13">
        <v>13747.2</v>
      </c>
      <c r="I62" s="13">
        <v>27941.4</v>
      </c>
      <c r="J62" s="13">
        <v>27864.799999999999</v>
      </c>
      <c r="K62" s="13">
        <v>33384.5</v>
      </c>
    </row>
    <row r="63" spans="1:11" x14ac:dyDescent="0.25">
      <c r="A63" s="15" t="s">
        <v>51</v>
      </c>
      <c r="B63" s="13">
        <v>1006.9</v>
      </c>
      <c r="C63" s="13">
        <v>1252.3</v>
      </c>
      <c r="D63" s="13">
        <v>2132.1</v>
      </c>
      <c r="E63" s="13">
        <v>1606.9</v>
      </c>
      <c r="F63" s="13">
        <v>1415.2</v>
      </c>
      <c r="G63" s="13">
        <v>1496.8</v>
      </c>
      <c r="H63" s="13">
        <v>2936.5</v>
      </c>
      <c r="I63" s="13">
        <v>4143</v>
      </c>
      <c r="J63" s="13">
        <v>7734.8</v>
      </c>
      <c r="K63" s="13">
        <v>7527.2</v>
      </c>
    </row>
    <row r="64" spans="1:11" x14ac:dyDescent="0.25">
      <c r="A64" s="15" t="s">
        <v>52</v>
      </c>
      <c r="B64" s="13">
        <v>20675.8</v>
      </c>
      <c r="C64" s="13">
        <v>29150.6</v>
      </c>
      <c r="D64" s="13">
        <v>36123.1</v>
      </c>
      <c r="E64" s="13">
        <v>37503.599999999999</v>
      </c>
      <c r="F64" s="13">
        <v>37488</v>
      </c>
      <c r="G64" s="13">
        <v>42944.800000000003</v>
      </c>
      <c r="H64" s="13">
        <v>42034.7</v>
      </c>
      <c r="I64" s="13">
        <v>49184.3</v>
      </c>
      <c r="J64" s="13">
        <v>57296</v>
      </c>
      <c r="K64" s="13">
        <v>66265.399999999994</v>
      </c>
    </row>
    <row r="65" spans="1:11" x14ac:dyDescent="0.25">
      <c r="A65" s="15" t="s">
        <v>53</v>
      </c>
      <c r="B65" s="13">
        <v>8513.2000000000007</v>
      </c>
      <c r="C65" s="13">
        <v>8246.9</v>
      </c>
      <c r="D65" s="13">
        <v>8604.4</v>
      </c>
      <c r="E65" s="13">
        <v>9420.9</v>
      </c>
      <c r="F65" s="13">
        <v>8980.1</v>
      </c>
      <c r="G65" s="13">
        <v>11945.8</v>
      </c>
      <c r="H65" s="13">
        <v>15937.1</v>
      </c>
      <c r="I65" s="13">
        <v>18837.3</v>
      </c>
      <c r="J65" s="13">
        <v>22408.5</v>
      </c>
      <c r="K65" s="13">
        <v>24794.7</v>
      </c>
    </row>
    <row r="66" spans="1:11" x14ac:dyDescent="0.25">
      <c r="A66" s="14" t="s">
        <v>49</v>
      </c>
      <c r="B66" s="13">
        <v>42725.5</v>
      </c>
      <c r="C66" s="13">
        <v>51960.5</v>
      </c>
      <c r="D66" s="13">
        <v>60248.4</v>
      </c>
      <c r="E66" s="13">
        <v>63968.7</v>
      </c>
      <c r="F66" s="13">
        <v>63627.7</v>
      </c>
      <c r="G66" s="13">
        <v>71376.100000000006</v>
      </c>
      <c r="H66" s="13">
        <v>74655.5</v>
      </c>
      <c r="I66" s="13">
        <v>100106</v>
      </c>
      <c r="J66" s="13">
        <v>115304.1</v>
      </c>
      <c r="K66" s="13">
        <v>131971.79999999999</v>
      </c>
    </row>
    <row r="67" spans="1:11" x14ac:dyDescent="0.25">
      <c r="A67" s="15" t="s">
        <v>54</v>
      </c>
      <c r="B67" s="13">
        <v>1323.4</v>
      </c>
      <c r="C67" s="13">
        <v>1202.5999999999999</v>
      </c>
      <c r="D67" s="13">
        <v>1465.4</v>
      </c>
      <c r="E67" s="13">
        <v>2312.8000000000002</v>
      </c>
      <c r="F67" s="13">
        <v>1977.7</v>
      </c>
      <c r="G67" s="13">
        <v>1279.9000000000001</v>
      </c>
      <c r="H67" s="13">
        <v>2034.5</v>
      </c>
      <c r="I67" s="13">
        <v>3284.8</v>
      </c>
      <c r="J67" s="13">
        <v>4596.8</v>
      </c>
      <c r="K67" s="13">
        <v>6539.7</v>
      </c>
    </row>
    <row r="68" spans="1:11" x14ac:dyDescent="0.25">
      <c r="A68" s="15" t="s">
        <v>55</v>
      </c>
      <c r="B68" s="13">
        <v>3132.6</v>
      </c>
      <c r="C68" s="13">
        <v>3263.7</v>
      </c>
      <c r="D68" s="13">
        <v>3160.2</v>
      </c>
      <c r="E68" s="13">
        <v>3322.6</v>
      </c>
      <c r="F68" s="13">
        <v>3213.9</v>
      </c>
      <c r="G68" s="13">
        <v>3049</v>
      </c>
      <c r="H68" s="13">
        <v>3532.3</v>
      </c>
      <c r="I68" s="13">
        <v>5443.5</v>
      </c>
      <c r="J68" s="13">
        <v>5318.1</v>
      </c>
      <c r="K68" s="13">
        <v>6913.2</v>
      </c>
    </row>
    <row r="69" spans="1:11" x14ac:dyDescent="0.25">
      <c r="A69" s="15" t="s">
        <v>56</v>
      </c>
      <c r="B69" s="13">
        <v>50.7</v>
      </c>
      <c r="C69" s="13">
        <v>23.5</v>
      </c>
      <c r="D69" s="13">
        <v>74</v>
      </c>
      <c r="E69" s="13">
        <v>187.8</v>
      </c>
      <c r="F69" s="13">
        <v>29</v>
      </c>
      <c r="G69" s="13">
        <v>3047.1</v>
      </c>
      <c r="H69" s="13">
        <v>3042.2</v>
      </c>
      <c r="I69" s="13">
        <v>2748.5</v>
      </c>
      <c r="J69" s="13">
        <v>2827.4</v>
      </c>
      <c r="K69" s="13">
        <v>552.9</v>
      </c>
    </row>
    <row r="70" spans="1:11" x14ac:dyDescent="0.25">
      <c r="A70" s="15" t="s">
        <v>57</v>
      </c>
      <c r="B70" s="13">
        <v>302080060</v>
      </c>
      <c r="C70" s="13">
        <v>302080060</v>
      </c>
      <c r="D70" s="13">
        <v>302080060</v>
      </c>
      <c r="E70" s="13">
        <v>302080060</v>
      </c>
      <c r="F70" s="13">
        <v>302080060</v>
      </c>
      <c r="G70" s="13">
        <v>302080060</v>
      </c>
      <c r="H70" s="13">
        <v>302080060</v>
      </c>
      <c r="I70" s="13">
        <v>302080060</v>
      </c>
      <c r="J70" s="13">
        <v>314402574</v>
      </c>
      <c r="K70" s="13"/>
    </row>
    <row r="71" spans="1:11" x14ac:dyDescent="0.25">
      <c r="A71" s="15" t="s">
        <v>58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x14ac:dyDescent="0.25">
      <c r="A72" s="15" t="s">
        <v>59</v>
      </c>
      <c r="B72" s="13">
        <v>5</v>
      </c>
      <c r="C72" s="13">
        <v>5</v>
      </c>
      <c r="D72" s="13">
        <v>5</v>
      </c>
      <c r="E72" s="13">
        <v>5</v>
      </c>
      <c r="F72" s="13">
        <v>5</v>
      </c>
      <c r="G72" s="13">
        <v>5</v>
      </c>
      <c r="H72" s="13">
        <v>5</v>
      </c>
      <c r="I72" s="13">
        <v>5</v>
      </c>
      <c r="J72" s="13">
        <v>5</v>
      </c>
      <c r="K72" s="13">
        <v>5</v>
      </c>
    </row>
    <row r="74" spans="1:11" x14ac:dyDescent="0.25">
      <c r="A74" s="15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x14ac:dyDescent="0.25">
      <c r="A75" s="15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x14ac:dyDescent="0.25">
      <c r="A76" s="15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spans="1:1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x14ac:dyDescent="0.25">
      <c r="A78" s="15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x14ac:dyDescent="0.25">
      <c r="A79" s="15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x14ac:dyDescent="0.25">
      <c r="A80" s="14" t="s">
        <v>60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x14ac:dyDescent="0.25">
      <c r="A81" s="17" t="s">
        <v>29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x14ac:dyDescent="0.25">
      <c r="A82" s="15" t="s">
        <v>61</v>
      </c>
      <c r="B82" s="13">
        <v>8482.5</v>
      </c>
      <c r="C82" s="13">
        <v>10282</v>
      </c>
      <c r="D82" s="13">
        <v>11787.9</v>
      </c>
      <c r="E82" s="13">
        <v>6600.9</v>
      </c>
      <c r="F82" s="13">
        <v>3495.8</v>
      </c>
      <c r="G82" s="13">
        <v>8856.2000000000007</v>
      </c>
      <c r="H82" s="13">
        <v>1840.5</v>
      </c>
      <c r="I82" s="13">
        <v>10814.6</v>
      </c>
      <c r="J82" s="13">
        <v>16801.099999999999</v>
      </c>
      <c r="K82" s="13">
        <v>16136.2</v>
      </c>
    </row>
    <row r="83" spans="1:11" x14ac:dyDescent="0.25">
      <c r="A83" s="15" t="s">
        <v>62</v>
      </c>
      <c r="B83" s="13">
        <v>-7230.4</v>
      </c>
      <c r="C83" s="13">
        <v>-9173.2000000000007</v>
      </c>
      <c r="D83" s="13">
        <v>-8301.7000000000007</v>
      </c>
      <c r="E83" s="13">
        <v>-3539.9</v>
      </c>
      <c r="F83" s="13">
        <v>-556.6</v>
      </c>
      <c r="G83" s="13">
        <v>-7291.3</v>
      </c>
      <c r="H83" s="13">
        <v>-239.2</v>
      </c>
      <c r="I83" s="13">
        <v>-8820.5</v>
      </c>
      <c r="J83" s="13">
        <v>-11864.8</v>
      </c>
      <c r="K83" s="13">
        <v>-14456.1</v>
      </c>
    </row>
    <row r="84" spans="1:11" x14ac:dyDescent="0.25">
      <c r="A84" s="15" t="s">
        <v>63</v>
      </c>
      <c r="B84" s="13">
        <v>-1236.5999999999999</v>
      </c>
      <c r="C84" s="13">
        <v>-1129.3</v>
      </c>
      <c r="D84" s="13">
        <v>-3436.1</v>
      </c>
      <c r="E84" s="13">
        <v>-2947.9</v>
      </c>
      <c r="F84" s="13">
        <v>-3104.3</v>
      </c>
      <c r="G84" s="13">
        <v>-1544.9</v>
      </c>
      <c r="H84" s="13">
        <v>-1607</v>
      </c>
      <c r="I84" s="13">
        <v>-1213.9000000000001</v>
      </c>
      <c r="J84" s="13">
        <v>-4062</v>
      </c>
      <c r="K84" s="13">
        <v>-4155.1000000000004</v>
      </c>
    </row>
    <row r="85" spans="1:11" x14ac:dyDescent="0.25">
      <c r="A85" s="15" t="s">
        <v>64</v>
      </c>
      <c r="B85" s="13">
        <v>15.5</v>
      </c>
      <c r="C85" s="13">
        <v>-20.5</v>
      </c>
      <c r="D85" s="13">
        <v>50.1</v>
      </c>
      <c r="E85" s="13">
        <v>113.1</v>
      </c>
      <c r="F85" s="13">
        <v>-165.1</v>
      </c>
      <c r="G85" s="13">
        <v>20</v>
      </c>
      <c r="H85" s="13">
        <v>-5.7</v>
      </c>
      <c r="I85" s="13">
        <v>780.2</v>
      </c>
      <c r="J85" s="13">
        <v>874.3</v>
      </c>
      <c r="K85" s="13">
        <v>-2475</v>
      </c>
    </row>
    <row r="86" spans="1:11" x14ac:dyDescent="0.25">
      <c r="A86" s="15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spans="1:11" x14ac:dyDescent="0.25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 x14ac:dyDescent="0.2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1" x14ac:dyDescent="0.25">
      <c r="A89" s="15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x14ac:dyDescent="0.25">
      <c r="A90" s="14" t="s">
        <v>65</v>
      </c>
      <c r="B90" s="13">
        <v>3716.3</v>
      </c>
      <c r="C90" s="13">
        <v>6015.7</v>
      </c>
      <c r="D90" s="13">
        <v>8861.1</v>
      </c>
      <c r="E90" s="13">
        <v>6672.55</v>
      </c>
      <c r="F90" s="13">
        <v>4288.3</v>
      </c>
      <c r="G90" s="13">
        <v>6859.2</v>
      </c>
      <c r="H90" s="13">
        <v>7561.3</v>
      </c>
      <c r="I90" s="13">
        <v>8292.15</v>
      </c>
      <c r="J90" s="13">
        <v>12600.35</v>
      </c>
      <c r="K90" s="13">
        <v>11522.15</v>
      </c>
    </row>
    <row r="92" spans="1:11" x14ac:dyDescent="0.25">
      <c r="A92" s="14" t="s">
        <v>66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x14ac:dyDescent="0.25">
      <c r="A93" s="15" t="s">
        <v>67</v>
      </c>
      <c r="B93" s="18">
        <v>30.21</v>
      </c>
      <c r="C93" s="18">
        <v>30.21</v>
      </c>
      <c r="D93" s="18">
        <v>30.21</v>
      </c>
      <c r="E93" s="18">
        <v>30.21</v>
      </c>
      <c r="F93" s="18">
        <v>30.21</v>
      </c>
      <c r="G93" s="18">
        <v>30.21</v>
      </c>
      <c r="H93" s="18">
        <v>30.21</v>
      </c>
      <c r="I93" s="18">
        <v>30.21</v>
      </c>
      <c r="J93" s="18">
        <v>31.44</v>
      </c>
      <c r="K93" s="18">
        <v>31.44</v>
      </c>
    </row>
  </sheetData>
  <mergeCells count="2">
    <mergeCell ref="E1:K1"/>
    <mergeCell ref="E2:K2"/>
  </mergeCells>
  <hyperlinks>
    <hyperlink ref="E1:K1" r:id="rId1" display="https://www.screener.in/excel/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topLeftCell="A3" zoomScaleNormal="100" workbookViewId="0">
      <pane xSplit="1" ySplit="2" topLeftCell="B5" activePane="bottomRight" state="frozen"/>
      <selection activeCell="A3" sqref="A3"/>
      <selection pane="topRight" activeCell="B3" sqref="B3"/>
      <selection pane="bottomLeft" activeCell="A5" sqref="A5"/>
      <selection pane="bottomRight" activeCell="N13" sqref="N13"/>
    </sheetView>
  </sheetViews>
  <sheetFormatPr defaultRowHeight="15" x14ac:dyDescent="0.25"/>
  <cols>
    <col min="1" max="1" width="1.85546875" customWidth="1"/>
    <col min="2" max="2" width="33.28515625" customWidth="1"/>
    <col min="3" max="12" width="11.7109375" customWidth="1"/>
  </cols>
  <sheetData>
    <row r="2" spans="2:12" x14ac:dyDescent="0.25">
      <c r="B2" t="s">
        <v>0</v>
      </c>
    </row>
    <row r="3" spans="2:12" x14ac:dyDescent="0.25">
      <c r="B3" s="167" t="str">
        <f>"Du Point Analysis"&amp;" - "&amp;'Historical Financials'!B1</f>
        <v>Du Point Analysis - MARUTI SUZUKI LTD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2" x14ac:dyDescent="0.25">
      <c r="B4" s="2" t="s">
        <v>120</v>
      </c>
      <c r="C4" s="2">
        <v>2016</v>
      </c>
      <c r="D4" s="2">
        <f>C4+1</f>
        <v>2017</v>
      </c>
      <c r="E4" s="2">
        <f t="shared" ref="E4:L4" si="0">D4+1</f>
        <v>2018</v>
      </c>
      <c r="F4" s="2">
        <f t="shared" si="0"/>
        <v>2019</v>
      </c>
      <c r="G4" s="2">
        <f t="shared" si="0"/>
        <v>2020</v>
      </c>
      <c r="H4" s="2">
        <f t="shared" si="0"/>
        <v>2021</v>
      </c>
      <c r="I4" s="2">
        <f t="shared" si="0"/>
        <v>2022</v>
      </c>
      <c r="J4" s="2">
        <f t="shared" si="0"/>
        <v>2023</v>
      </c>
      <c r="K4" s="2">
        <f t="shared" si="0"/>
        <v>2024</v>
      </c>
      <c r="L4" s="2">
        <f t="shared" si="0"/>
        <v>2025</v>
      </c>
    </row>
    <row r="6" spans="2:12" x14ac:dyDescent="0.25">
      <c r="B6" s="51" t="s">
        <v>159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2:12" x14ac:dyDescent="0.25">
      <c r="B7" s="75" t="s">
        <v>10</v>
      </c>
      <c r="C7" s="75">
        <f>'Historical Financials'!C18</f>
        <v>2568.9999999999945</v>
      </c>
      <c r="D7" s="75">
        <f>'Historical Financials'!D18</f>
        <v>2712.5999999999995</v>
      </c>
      <c r="E7" s="75">
        <f>'Historical Financials'!E18</f>
        <v>3571.4999999999882</v>
      </c>
      <c r="F7" s="75">
        <f>'Historical Financials'!F18</f>
        <v>2322.2000000000035</v>
      </c>
      <c r="G7" s="75">
        <f>'Historical Financials'!G18</f>
        <v>-1143.1999999999982</v>
      </c>
      <c r="H7" s="75">
        <f>'Historical Financials'!H18</f>
        <v>-1703.4999999999982</v>
      </c>
      <c r="I7" s="75">
        <f>'Historical Financials'!I18</f>
        <v>157.90000000001464</v>
      </c>
      <c r="J7" s="75">
        <f>'Historical Financials'!J18</f>
        <v>3433.7000000000035</v>
      </c>
      <c r="K7" s="75">
        <f>'Historical Financials'!K18</f>
        <v>4993.0000000000136</v>
      </c>
      <c r="L7" s="75">
        <f>'Historical Financials'!L18</f>
        <v>3967.9999999999955</v>
      </c>
    </row>
    <row r="8" spans="2:12" x14ac:dyDescent="0.25">
      <c r="B8" t="s">
        <v>160</v>
      </c>
      <c r="C8">
        <f>SUM('Historical Financials'!C30:C31)</f>
        <v>30616</v>
      </c>
      <c r="D8">
        <f>SUM('Historical Financials'!D30:D31)</f>
        <v>37075.1</v>
      </c>
      <c r="E8">
        <f>SUM('Historical Financials'!E30:E31)</f>
        <v>42559.4</v>
      </c>
      <c r="F8">
        <f>SUM('Historical Financials'!F30:F31)</f>
        <v>47092.1</v>
      </c>
      <c r="G8">
        <f>SUM('Historical Financials'!G30:G31)</f>
        <v>49413</v>
      </c>
      <c r="H8">
        <f>SUM('Historical Financials'!H30:H31)</f>
        <v>52500.6</v>
      </c>
      <c r="I8">
        <f>SUM('Historical Financials'!I30:I31)</f>
        <v>55333.5</v>
      </c>
      <c r="J8">
        <f>SUM('Historical Financials'!J30:J31)</f>
        <v>74600.2</v>
      </c>
      <c r="K8">
        <f>SUM('Historical Financials'!K30:K31)</f>
        <v>85636</v>
      </c>
      <c r="L8">
        <f>SUM('Historical Financials'!L30:L31)</f>
        <v>96239.9</v>
      </c>
    </row>
    <row r="9" spans="2:12" x14ac:dyDescent="0.25">
      <c r="B9" s="103" t="s">
        <v>161</v>
      </c>
      <c r="C9" s="107">
        <f>C7/C8</f>
        <v>8.3910373660830762E-2</v>
      </c>
      <c r="D9" s="107">
        <f t="shared" ref="D9:L9" si="1">D7/D8</f>
        <v>7.3165008320948549E-2</v>
      </c>
      <c r="E9" s="107">
        <f t="shared" si="1"/>
        <v>8.3918006362871375E-2</v>
      </c>
      <c r="F9" s="107">
        <f t="shared" si="1"/>
        <v>4.9311880336617042E-2</v>
      </c>
      <c r="G9" s="107">
        <f t="shared" si="1"/>
        <v>-2.3135612085888293E-2</v>
      </c>
      <c r="H9" s="107">
        <f t="shared" si="1"/>
        <v>-3.2447248221925046E-2</v>
      </c>
      <c r="I9" s="107">
        <f t="shared" si="1"/>
        <v>2.8536058626332083E-3</v>
      </c>
      <c r="J9" s="107">
        <f t="shared" si="1"/>
        <v>4.6028026734512825E-2</v>
      </c>
      <c r="K9" s="107">
        <f t="shared" si="1"/>
        <v>5.8304918492223058E-2</v>
      </c>
      <c r="L9" s="107">
        <f t="shared" si="1"/>
        <v>4.1230300530237414E-2</v>
      </c>
    </row>
    <row r="11" spans="2:12" x14ac:dyDescent="0.25">
      <c r="B11" s="106" t="s">
        <v>162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2:12" x14ac:dyDescent="0.25">
      <c r="B12" s="104"/>
    </row>
    <row r="13" spans="2:12" x14ac:dyDescent="0.25">
      <c r="B13" s="75" t="s">
        <v>10</v>
      </c>
      <c r="C13" s="109">
        <f>'Historical Financials'!C18</f>
        <v>2568.9999999999945</v>
      </c>
      <c r="D13" s="109">
        <f>'Historical Financials'!D18</f>
        <v>2712.5999999999995</v>
      </c>
      <c r="E13" s="109">
        <f>'Historical Financials'!E18</f>
        <v>3571.4999999999882</v>
      </c>
      <c r="F13" s="109">
        <f>'Historical Financials'!F18</f>
        <v>2322.2000000000035</v>
      </c>
      <c r="G13" s="109">
        <f>'Historical Financials'!G18</f>
        <v>-1143.1999999999982</v>
      </c>
      <c r="H13" s="109">
        <f>'Historical Financials'!H18</f>
        <v>-1703.4999999999982</v>
      </c>
      <c r="I13" s="109">
        <f>'Historical Financials'!I18</f>
        <v>157.90000000001464</v>
      </c>
      <c r="J13" s="109">
        <f>'Historical Financials'!J18</f>
        <v>3433.7000000000035</v>
      </c>
      <c r="K13" s="109">
        <f>'Historical Financials'!K18</f>
        <v>4993.0000000000136</v>
      </c>
      <c r="L13" s="109">
        <f>'Historical Financials'!L18</f>
        <v>3967.9999999999955</v>
      </c>
    </row>
    <row r="14" spans="2:12" x14ac:dyDescent="0.25">
      <c r="B14" t="s">
        <v>8</v>
      </c>
      <c r="C14" s="110">
        <f>'Historical Financials'!C16</f>
        <v>4656.4999999999945</v>
      </c>
      <c r="D14" s="110">
        <f>'Historical Financials'!D16</f>
        <v>5328.7999999999993</v>
      </c>
      <c r="E14" s="110">
        <f>'Historical Financials'!E16</f>
        <v>6857.699999999988</v>
      </c>
      <c r="F14" s="110">
        <f>'Historical Financials'!F16</f>
        <v>5295.4000000000033</v>
      </c>
      <c r="G14" s="110">
        <f>'Historical Financials'!G16</f>
        <v>282.00000000000182</v>
      </c>
      <c r="H14" s="110">
        <f>'Historical Financials'!H16</f>
        <v>-771.59999999999809</v>
      </c>
      <c r="I14" s="110">
        <f>'Historical Financials'!I16</f>
        <v>975.60000000001469</v>
      </c>
      <c r="J14" s="110">
        <f>'Historical Financials'!J16</f>
        <v>5608.2000000000035</v>
      </c>
      <c r="K14" s="110">
        <f>'Historical Financials'!K16</f>
        <v>8929.3000000000138</v>
      </c>
      <c r="L14" s="110">
        <f>'Historical Financials'!L16</f>
        <v>9087.7999999999956</v>
      </c>
    </row>
    <row r="15" spans="2:12" x14ac:dyDescent="0.25">
      <c r="B15" s="103" t="s">
        <v>163</v>
      </c>
      <c r="C15" s="64">
        <f>C13/C14</f>
        <v>0.55170192204445345</v>
      </c>
      <c r="D15" s="64">
        <f t="shared" ref="D15:L15" si="2">D13/D14</f>
        <v>0.50904518841014856</v>
      </c>
      <c r="E15" s="64">
        <f t="shared" si="2"/>
        <v>0.5208014348834149</v>
      </c>
      <c r="F15" s="64">
        <f t="shared" si="2"/>
        <v>0.43853155568984442</v>
      </c>
      <c r="G15" s="64">
        <f t="shared" si="2"/>
        <v>-4.0539007092198256</v>
      </c>
      <c r="H15" s="64">
        <f t="shared" si="2"/>
        <v>2.2077501296008326</v>
      </c>
      <c r="I15" s="64">
        <f t="shared" si="2"/>
        <v>0.16184911849119749</v>
      </c>
      <c r="J15" s="64">
        <f t="shared" si="2"/>
        <v>0.61226418458685516</v>
      </c>
      <c r="K15" s="64">
        <f t="shared" si="2"/>
        <v>0.55917037169767014</v>
      </c>
      <c r="L15" s="64">
        <f t="shared" si="2"/>
        <v>0.43662932722991232</v>
      </c>
    </row>
    <row r="16" spans="2:12" x14ac:dyDescent="0.25">
      <c r="C16" s="111"/>
      <c r="D16" s="111"/>
      <c r="E16" s="111"/>
      <c r="F16" s="111"/>
      <c r="G16" s="111"/>
      <c r="H16" s="111"/>
      <c r="I16" s="111"/>
      <c r="J16" s="111"/>
      <c r="K16" s="111"/>
      <c r="L16" s="111"/>
    </row>
    <row r="17" spans="2:12" x14ac:dyDescent="0.25">
      <c r="B17" s="75" t="s">
        <v>8</v>
      </c>
      <c r="C17" s="110">
        <f>'Historical Financials'!C16</f>
        <v>4656.4999999999945</v>
      </c>
      <c r="D17" s="110">
        <f>'Historical Financials'!D16</f>
        <v>5328.7999999999993</v>
      </c>
      <c r="E17" s="110">
        <f>'Historical Financials'!E16</f>
        <v>6857.699999999988</v>
      </c>
      <c r="F17" s="110">
        <f>'Historical Financials'!F16</f>
        <v>5295.4000000000033</v>
      </c>
      <c r="G17" s="110">
        <f>'Historical Financials'!G16</f>
        <v>282.00000000000182</v>
      </c>
      <c r="H17" s="110">
        <f>'Historical Financials'!H16</f>
        <v>-771.59999999999809</v>
      </c>
      <c r="I17" s="110">
        <f>'Historical Financials'!I16</f>
        <v>975.60000000001469</v>
      </c>
      <c r="J17" s="110">
        <f>'Historical Financials'!J16</f>
        <v>5608.2000000000035</v>
      </c>
      <c r="K17" s="110">
        <f>'Historical Financials'!K16</f>
        <v>8929.3000000000138</v>
      </c>
      <c r="L17" s="110">
        <f>'Historical Financials'!L16</f>
        <v>9087.7999999999956</v>
      </c>
    </row>
    <row r="18" spans="2:12" x14ac:dyDescent="0.25">
      <c r="B18" t="s">
        <v>16</v>
      </c>
      <c r="C18" s="110">
        <f>'Historical Financials'!C13</f>
        <v>6202.2999999999947</v>
      </c>
      <c r="D18" s="110">
        <f>'Historical Financials'!D13</f>
        <v>7817.4</v>
      </c>
      <c r="E18" s="110">
        <f>'Historical Financials'!E13</f>
        <v>9358.0999999999876</v>
      </c>
      <c r="F18" s="110">
        <f>'Historical Financials'!F13</f>
        <v>8035.5000000000027</v>
      </c>
      <c r="G18" s="110">
        <f>'Historical Financials'!G13</f>
        <v>3826.6000000000017</v>
      </c>
      <c r="H18" s="110">
        <f>'Historical Financials'!H13</f>
        <v>2376.5000000000023</v>
      </c>
      <c r="I18" s="110">
        <f>'Historical Financials'!I13</f>
        <v>2963.0000000000146</v>
      </c>
      <c r="J18" s="110">
        <f>'Historical Financials'!J13</f>
        <v>8275.5000000000036</v>
      </c>
      <c r="K18" s="110">
        <f>'Historical Financials'!K13</f>
        <v>13370.500000000015</v>
      </c>
      <c r="L18" s="110">
        <f>'Historical Financials'!L13</f>
        <v>14548.099999999995</v>
      </c>
    </row>
    <row r="19" spans="2:12" x14ac:dyDescent="0.25">
      <c r="B19" s="103" t="s">
        <v>164</v>
      </c>
      <c r="C19" s="64">
        <f>C17/C18</f>
        <v>0.75076987569127562</v>
      </c>
      <c r="D19" s="64">
        <f t="shared" ref="D19:L19" si="3">D17/D18</f>
        <v>0.68165886356077465</v>
      </c>
      <c r="E19" s="64">
        <f t="shared" si="3"/>
        <v>0.73280901037603752</v>
      </c>
      <c r="F19" s="64">
        <f t="shared" si="3"/>
        <v>0.659000684462697</v>
      </c>
      <c r="G19" s="64">
        <f t="shared" si="3"/>
        <v>7.369466367009922E-2</v>
      </c>
      <c r="H19" s="64">
        <f t="shared" si="3"/>
        <v>-0.32467915001051856</v>
      </c>
      <c r="I19" s="64">
        <f t="shared" si="3"/>
        <v>0.32926088423895034</v>
      </c>
      <c r="J19" s="64">
        <f t="shared" si="3"/>
        <v>0.67768714881276071</v>
      </c>
      <c r="K19" s="64">
        <f t="shared" si="3"/>
        <v>0.66783590740810028</v>
      </c>
      <c r="L19" s="64">
        <f t="shared" si="3"/>
        <v>0.62467263766402481</v>
      </c>
    </row>
    <row r="20" spans="2:12" x14ac:dyDescent="0.25">
      <c r="C20" s="111"/>
      <c r="D20" s="111"/>
      <c r="E20" s="111"/>
      <c r="F20" s="111"/>
      <c r="G20" s="111"/>
      <c r="H20" s="111"/>
      <c r="I20" s="111"/>
      <c r="J20" s="111"/>
      <c r="K20" s="111"/>
      <c r="L20" s="111"/>
    </row>
    <row r="21" spans="2:12" x14ac:dyDescent="0.25">
      <c r="B21" s="75" t="s">
        <v>16</v>
      </c>
      <c r="C21" s="110">
        <f>'Historical Financials'!C13</f>
        <v>6202.2999999999947</v>
      </c>
      <c r="D21" s="110">
        <f>'Historical Financials'!D13</f>
        <v>7817.4</v>
      </c>
      <c r="E21" s="110">
        <f>'Historical Financials'!E13</f>
        <v>9358.0999999999876</v>
      </c>
      <c r="F21" s="110">
        <f>'Historical Financials'!F13</f>
        <v>8035.5000000000027</v>
      </c>
      <c r="G21" s="110">
        <f>'Historical Financials'!G13</f>
        <v>3826.6000000000017</v>
      </c>
      <c r="H21" s="110">
        <f>'Historical Financials'!H13</f>
        <v>2376.5000000000023</v>
      </c>
      <c r="I21" s="110">
        <f>'Historical Financials'!I13</f>
        <v>2963.0000000000146</v>
      </c>
      <c r="J21" s="110">
        <f>'Historical Financials'!J13</f>
        <v>8275.5000000000036</v>
      </c>
      <c r="K21" s="110">
        <f>'Historical Financials'!K13</f>
        <v>13370.500000000015</v>
      </c>
      <c r="L21" s="110">
        <f>'Historical Financials'!L13</f>
        <v>14548.099999999995</v>
      </c>
    </row>
    <row r="22" spans="2:12" x14ac:dyDescent="0.25">
      <c r="B22" t="s">
        <v>30</v>
      </c>
      <c r="C22" s="110">
        <f>'Historical Financials'!C7</f>
        <v>57589</v>
      </c>
      <c r="D22" s="110">
        <f>'Historical Financials'!D7</f>
        <v>68085</v>
      </c>
      <c r="E22" s="110">
        <f>'Historical Financials'!E7</f>
        <v>79809.399999999994</v>
      </c>
      <c r="F22" s="110">
        <f>'Historical Financials'!F7</f>
        <v>86068.5</v>
      </c>
      <c r="G22" s="110">
        <f>'Historical Financials'!G7</f>
        <v>75660</v>
      </c>
      <c r="H22" s="110">
        <f>'Historical Financials'!H7</f>
        <v>70372</v>
      </c>
      <c r="I22" s="110">
        <f>'Historical Financials'!I7</f>
        <v>88329.8</v>
      </c>
      <c r="J22" s="110">
        <f>'Historical Financials'!J7</f>
        <v>118409.9</v>
      </c>
      <c r="K22" s="110">
        <f>'Historical Financials'!K7</f>
        <v>141858.20000000001</v>
      </c>
      <c r="L22" s="110">
        <f>'Historical Financials'!L7</f>
        <v>152913</v>
      </c>
    </row>
    <row r="23" spans="2:12" x14ac:dyDescent="0.25">
      <c r="B23" s="103" t="s">
        <v>165</v>
      </c>
      <c r="C23" s="64">
        <f>C21/C22</f>
        <v>0.10769938703571853</v>
      </c>
      <c r="D23" s="64">
        <f t="shared" ref="D23:L23" si="4">D21/D22</f>
        <v>0.11481824190350297</v>
      </c>
      <c r="E23" s="64">
        <f t="shared" si="4"/>
        <v>0.11725561149438522</v>
      </c>
      <c r="F23" s="64">
        <f t="shared" si="4"/>
        <v>9.336168284564042E-2</v>
      </c>
      <c r="G23" s="64">
        <f t="shared" si="4"/>
        <v>5.0576262225746786E-2</v>
      </c>
      <c r="H23" s="64">
        <f t="shared" si="4"/>
        <v>3.3770533735008275E-2</v>
      </c>
      <c r="I23" s="64">
        <f t="shared" si="4"/>
        <v>3.3544738015935896E-2</v>
      </c>
      <c r="J23" s="64">
        <f t="shared" si="4"/>
        <v>6.9888581951340248E-2</v>
      </c>
      <c r="K23" s="64">
        <f t="shared" si="4"/>
        <v>9.4252570524650761E-2</v>
      </c>
      <c r="L23" s="64">
        <f t="shared" si="4"/>
        <v>9.5139719971487027E-2</v>
      </c>
    </row>
    <row r="24" spans="2:12" x14ac:dyDescent="0.25">
      <c r="C24" s="111"/>
      <c r="D24" s="111"/>
      <c r="E24" s="111"/>
      <c r="F24" s="111"/>
      <c r="G24" s="111"/>
      <c r="H24" s="111"/>
      <c r="I24" s="111"/>
      <c r="J24" s="111"/>
      <c r="K24" s="111"/>
      <c r="L24" s="111"/>
    </row>
    <row r="25" spans="2:12" x14ac:dyDescent="0.25">
      <c r="B25" s="75" t="s">
        <v>30</v>
      </c>
      <c r="C25" s="110">
        <f>'Historical Financials'!C7</f>
        <v>57589</v>
      </c>
      <c r="D25" s="110">
        <f>'Historical Financials'!D7</f>
        <v>68085</v>
      </c>
      <c r="E25" s="110">
        <f>'Historical Financials'!E7</f>
        <v>79809.399999999994</v>
      </c>
      <c r="F25" s="110">
        <f>'Historical Financials'!F7</f>
        <v>86068.5</v>
      </c>
      <c r="G25" s="110">
        <f>'Historical Financials'!G7</f>
        <v>75660</v>
      </c>
      <c r="H25" s="110">
        <f>'Historical Financials'!H7</f>
        <v>70372</v>
      </c>
      <c r="I25" s="110">
        <f>'Historical Financials'!I7</f>
        <v>88329.8</v>
      </c>
      <c r="J25" s="110">
        <f>'Historical Financials'!J7</f>
        <v>118409.9</v>
      </c>
      <c r="K25" s="110">
        <f>'Historical Financials'!K7</f>
        <v>141858.20000000001</v>
      </c>
      <c r="L25" s="110">
        <f>'Historical Financials'!L7</f>
        <v>152913</v>
      </c>
    </row>
    <row r="26" spans="2:12" x14ac:dyDescent="0.25">
      <c r="B26" t="s">
        <v>166</v>
      </c>
      <c r="C26" s="110">
        <f>'Historical Financials'!C47</f>
        <v>47232.2</v>
      </c>
      <c r="D26" s="110">
        <f>'Historical Financials'!D47</f>
        <v>56450.3</v>
      </c>
      <c r="E26" s="110">
        <f>'Historical Financials'!E47</f>
        <v>64948</v>
      </c>
      <c r="F26" s="110">
        <f>'Historical Financials'!F47</f>
        <v>69791.900000000009</v>
      </c>
      <c r="G26" s="110">
        <f>'Historical Financials'!G47</f>
        <v>68848.3</v>
      </c>
      <c r="H26" s="110">
        <f>'Historical Financials'!H47</f>
        <v>78752.100000000006</v>
      </c>
      <c r="I26" s="110">
        <f>'Historical Financials'!I47</f>
        <v>83264.5</v>
      </c>
      <c r="J26" s="110">
        <f>'Historical Financials'!J47</f>
        <v>111582.80000000002</v>
      </c>
      <c r="K26" s="110">
        <f>'Historical Financials'!K47</f>
        <v>128046.40000000001</v>
      </c>
      <c r="L26" s="110">
        <f>'Historical Financials'!L47</f>
        <v>145977.59999999998</v>
      </c>
    </row>
    <row r="27" spans="2:12" x14ac:dyDescent="0.25">
      <c r="B27" s="103" t="s">
        <v>167</v>
      </c>
      <c r="C27" s="64">
        <f>C25/C26</f>
        <v>1.2192741392524593</v>
      </c>
      <c r="D27" s="64">
        <f t="shared" ref="D27:L27" si="5">D25/D26</f>
        <v>1.2061051934179268</v>
      </c>
      <c r="E27" s="64">
        <f t="shared" si="5"/>
        <v>1.228819979060171</v>
      </c>
      <c r="F27" s="64">
        <f t="shared" si="5"/>
        <v>1.2332161755160698</v>
      </c>
      <c r="G27" s="64">
        <f t="shared" si="5"/>
        <v>1.0989378096481686</v>
      </c>
      <c r="H27" s="64">
        <f t="shared" si="5"/>
        <v>0.89358886937618165</v>
      </c>
      <c r="I27" s="64">
        <f t="shared" si="5"/>
        <v>1.0608338487590749</v>
      </c>
      <c r="J27" s="64">
        <f t="shared" si="5"/>
        <v>1.0611841609997237</v>
      </c>
      <c r="K27" s="64">
        <f t="shared" si="5"/>
        <v>1.1078655862249935</v>
      </c>
      <c r="L27" s="64">
        <f t="shared" si="5"/>
        <v>1.0475100289359465</v>
      </c>
    </row>
    <row r="28" spans="2:12" x14ac:dyDescent="0.25">
      <c r="C28" s="111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2:12" x14ac:dyDescent="0.25">
      <c r="B29" s="75" t="s">
        <v>76</v>
      </c>
      <c r="C29" s="110">
        <f>'Historical Financials'!C47</f>
        <v>47232.2</v>
      </c>
      <c r="D29" s="110">
        <f>'Historical Financials'!D47</f>
        <v>56450.3</v>
      </c>
      <c r="E29" s="110">
        <f>'Historical Financials'!E47</f>
        <v>64948</v>
      </c>
      <c r="F29" s="110">
        <f>'Historical Financials'!F47</f>
        <v>69791.900000000009</v>
      </c>
      <c r="G29" s="110">
        <f>'Historical Financials'!G47</f>
        <v>68848.3</v>
      </c>
      <c r="H29" s="110">
        <f>'Historical Financials'!H47</f>
        <v>78752.100000000006</v>
      </c>
      <c r="I29" s="110">
        <f>'Historical Financials'!I47</f>
        <v>83264.5</v>
      </c>
      <c r="J29" s="110">
        <f>'Historical Financials'!J47</f>
        <v>111582.80000000002</v>
      </c>
      <c r="K29" s="110">
        <f>'Historical Financials'!K47</f>
        <v>128046.40000000001</v>
      </c>
      <c r="L29" s="110">
        <f>'Historical Financials'!L47</f>
        <v>145977.59999999998</v>
      </c>
    </row>
    <row r="30" spans="2:12" x14ac:dyDescent="0.25">
      <c r="B30" t="s">
        <v>160</v>
      </c>
      <c r="C30" s="110">
        <f>SUM('Historical Financials'!C30:C31)</f>
        <v>30616</v>
      </c>
      <c r="D30" s="110">
        <f>SUM('Historical Financials'!D30:D31)</f>
        <v>37075.1</v>
      </c>
      <c r="E30" s="110">
        <f>SUM('Historical Financials'!E30:E31)</f>
        <v>42559.4</v>
      </c>
      <c r="F30" s="110">
        <f>SUM('Historical Financials'!F30:F31)</f>
        <v>47092.1</v>
      </c>
      <c r="G30" s="110">
        <f>SUM('Historical Financials'!G30:G31)</f>
        <v>49413</v>
      </c>
      <c r="H30" s="110">
        <f>SUM('Historical Financials'!H30:H31)</f>
        <v>52500.6</v>
      </c>
      <c r="I30" s="110">
        <f>SUM('Historical Financials'!I30:I31)</f>
        <v>55333.5</v>
      </c>
      <c r="J30" s="110">
        <f>SUM('Historical Financials'!J30:J31)</f>
        <v>74600.2</v>
      </c>
      <c r="K30" s="110">
        <f>SUM('Historical Financials'!K30:K31)</f>
        <v>85636</v>
      </c>
      <c r="L30" s="110">
        <f>SUM('Historical Financials'!L30:L31)</f>
        <v>96239.9</v>
      </c>
    </row>
    <row r="31" spans="2:12" x14ac:dyDescent="0.25">
      <c r="B31" s="103" t="s">
        <v>168</v>
      </c>
      <c r="C31" s="108">
        <f>C29/C30</f>
        <v>1.54272929187353</v>
      </c>
      <c r="D31" s="108">
        <f t="shared" ref="D31:L31" si="6">D29/D30</f>
        <v>1.5225933308339021</v>
      </c>
      <c r="E31" s="108">
        <f t="shared" si="6"/>
        <v>1.5260553485246502</v>
      </c>
      <c r="F31" s="108">
        <f t="shared" si="6"/>
        <v>1.4820298946107735</v>
      </c>
      <c r="G31" s="108">
        <f t="shared" si="6"/>
        <v>1.3933236192904701</v>
      </c>
      <c r="H31" s="108">
        <f t="shared" si="6"/>
        <v>1.5000228568816358</v>
      </c>
      <c r="I31" s="108">
        <f t="shared" si="6"/>
        <v>1.5047755880253373</v>
      </c>
      <c r="J31" s="108">
        <f t="shared" si="6"/>
        <v>1.4957439792386618</v>
      </c>
      <c r="K31" s="108">
        <f t="shared" si="6"/>
        <v>1.4952403194918027</v>
      </c>
      <c r="L31" s="108">
        <f t="shared" si="6"/>
        <v>1.5168095561196551</v>
      </c>
    </row>
    <row r="32" spans="2:12" x14ac:dyDescent="0.25">
      <c r="C32" s="58"/>
      <c r="D32" s="58"/>
      <c r="E32" s="58"/>
      <c r="F32" s="58"/>
      <c r="G32" s="58"/>
      <c r="H32" s="58"/>
      <c r="I32" s="58"/>
      <c r="J32" s="58"/>
      <c r="K32" s="58"/>
      <c r="L32" s="58"/>
    </row>
    <row r="33" spans="2:12" ht="15.75" thickBot="1" x14ac:dyDescent="0.3">
      <c r="B33" s="105" t="s">
        <v>161</v>
      </c>
      <c r="C33" s="61">
        <f>C15*C19*C23*C27*C31</f>
        <v>8.3910373660830762E-2</v>
      </c>
      <c r="D33" s="61">
        <f t="shared" ref="D33:L33" si="7">D15*D19*D23*D27*D31</f>
        <v>7.3165008320948535E-2</v>
      </c>
      <c r="E33" s="61">
        <f t="shared" si="7"/>
        <v>8.3918006362871375E-2</v>
      </c>
      <c r="F33" s="61">
        <f t="shared" si="7"/>
        <v>4.9311880336617049E-2</v>
      </c>
      <c r="G33" s="61">
        <f t="shared" si="7"/>
        <v>-2.3135612085888289E-2</v>
      </c>
      <c r="H33" s="61">
        <f t="shared" si="7"/>
        <v>-3.2447248221925053E-2</v>
      </c>
      <c r="I33" s="61">
        <f t="shared" si="7"/>
        <v>2.8536058626332079E-3</v>
      </c>
      <c r="J33" s="61">
        <f t="shared" si="7"/>
        <v>4.6028026734512818E-2</v>
      </c>
      <c r="K33" s="61">
        <f t="shared" si="7"/>
        <v>5.8304918492223065E-2</v>
      </c>
      <c r="L33" s="61">
        <f t="shared" si="7"/>
        <v>4.1230300530237414E-2</v>
      </c>
    </row>
    <row r="34" spans="2:12" ht="15.75" thickTop="1" x14ac:dyDescent="0.25"/>
  </sheetData>
  <mergeCells count="1">
    <mergeCell ref="B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 x14ac:dyDescent="0.25"/>
  <cols>
    <col min="1" max="1" width="1.85546875" customWidth="1"/>
    <col min="2" max="2" width="49.42578125" customWidth="1"/>
    <col min="3" max="12" width="11.7109375" customWidth="1"/>
  </cols>
  <sheetData>
    <row r="2" spans="2:13" x14ac:dyDescent="0.25">
      <c r="B2" t="s">
        <v>0</v>
      </c>
    </row>
    <row r="3" spans="2:13" x14ac:dyDescent="0.25">
      <c r="B3" s="167" t="str">
        <f>"Altman's Z-Score"&amp;" - "&amp;'Historical Financials'!B1</f>
        <v>Altman's Z-Score - MARUTI SUZUKI LTD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x14ac:dyDescent="0.25">
      <c r="B4" s="2" t="s">
        <v>120</v>
      </c>
      <c r="C4" s="2">
        <v>2016</v>
      </c>
      <c r="D4" s="2">
        <f>C4+1</f>
        <v>2017</v>
      </c>
      <c r="E4" s="2">
        <f t="shared" ref="E4:L4" si="0">D4+1</f>
        <v>2018</v>
      </c>
      <c r="F4" s="2">
        <f t="shared" si="0"/>
        <v>2019</v>
      </c>
      <c r="G4" s="2">
        <f t="shared" si="0"/>
        <v>2020</v>
      </c>
      <c r="H4" s="2">
        <f t="shared" si="0"/>
        <v>2021</v>
      </c>
      <c r="I4" s="2">
        <f t="shared" si="0"/>
        <v>2022</v>
      </c>
      <c r="J4" s="2">
        <f t="shared" si="0"/>
        <v>2023</v>
      </c>
      <c r="K4" s="2">
        <f t="shared" si="0"/>
        <v>2024</v>
      </c>
      <c r="L4" s="2">
        <f t="shared" si="0"/>
        <v>2025</v>
      </c>
    </row>
    <row r="5" spans="2:13" x14ac:dyDescent="0.25"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6"/>
    </row>
    <row r="6" spans="2:13" x14ac:dyDescent="0.25">
      <c r="B6" s="75" t="s">
        <v>169</v>
      </c>
      <c r="C6" s="117">
        <f>'Historical Financials'!C45-'Historical Financials'!C33</f>
        <v>-7371.9000000000005</v>
      </c>
      <c r="D6" s="117">
        <f>'Historical Financials'!D45-'Historical Financials'!D33</f>
        <v>-9912</v>
      </c>
      <c r="E6" s="117">
        <f>'Historical Financials'!E45-'Historical Financials'!E33</f>
        <v>-12868.6</v>
      </c>
      <c r="F6" s="117">
        <f>'Historical Financials'!F45-'Historical Financials'!F33</f>
        <v>-10893.8</v>
      </c>
      <c r="G6" s="117">
        <f>'Historical Financials'!G45-'Historical Financials'!G33</f>
        <v>-8810</v>
      </c>
      <c r="H6" s="117">
        <f>'Historical Financials'!H45-'Historical Financials'!H33</f>
        <v>-10958.599999999999</v>
      </c>
      <c r="I6" s="117">
        <f>'Historical Financials'!I45-'Historical Financials'!I33</f>
        <v>-10287.5</v>
      </c>
      <c r="J6" s="117">
        <f>'Historical Financials'!J45-'Historical Financials'!J33</f>
        <v>-12781.400000000001</v>
      </c>
      <c r="K6" s="117">
        <f>'Historical Financials'!K45-'Historical Financials'!K33</f>
        <v>-16807.199999999997</v>
      </c>
      <c r="L6" s="117">
        <f>'Historical Financials'!L45-'Historical Financials'!L33</f>
        <v>-21639.100000000002</v>
      </c>
    </row>
    <row r="7" spans="2:13" x14ac:dyDescent="0.25">
      <c r="B7" t="s">
        <v>76</v>
      </c>
      <c r="C7">
        <f>'Historical Financials'!C47</f>
        <v>47232.2</v>
      </c>
      <c r="D7">
        <f>'Historical Financials'!D47</f>
        <v>56450.3</v>
      </c>
      <c r="E7">
        <f>'Historical Financials'!E47</f>
        <v>64948</v>
      </c>
      <c r="F7">
        <f>'Historical Financials'!F47</f>
        <v>69791.900000000009</v>
      </c>
      <c r="G7">
        <f>'Historical Financials'!G47</f>
        <v>68848.3</v>
      </c>
      <c r="H7">
        <f>'Historical Financials'!H47</f>
        <v>78752.100000000006</v>
      </c>
      <c r="I7">
        <f>'Historical Financials'!I47</f>
        <v>83264.5</v>
      </c>
      <c r="J7">
        <f>'Historical Financials'!J47</f>
        <v>111582.80000000002</v>
      </c>
      <c r="K7">
        <f>'Historical Financials'!K47</f>
        <v>128046.40000000001</v>
      </c>
      <c r="L7">
        <f>'Historical Financials'!L47</f>
        <v>145977.59999999998</v>
      </c>
    </row>
    <row r="8" spans="2:13" x14ac:dyDescent="0.25">
      <c r="B8" s="114" t="s">
        <v>170</v>
      </c>
      <c r="C8" s="64">
        <f>C6/C7</f>
        <v>-0.15607784519882625</v>
      </c>
      <c r="D8" s="64">
        <f t="shared" ref="D8:L8" si="1">D6/D7</f>
        <v>-0.1755880836771461</v>
      </c>
      <c r="E8" s="64">
        <f t="shared" si="1"/>
        <v>-0.19813697111535383</v>
      </c>
      <c r="F8" s="64">
        <f t="shared" si="1"/>
        <v>-0.15608974680442855</v>
      </c>
      <c r="G8" s="64">
        <f t="shared" si="1"/>
        <v>-0.12796249144859059</v>
      </c>
      <c r="H8" s="64">
        <f t="shared" si="1"/>
        <v>-0.13915311464710145</v>
      </c>
      <c r="I8" s="64">
        <f t="shared" si="1"/>
        <v>-0.1235520539966012</v>
      </c>
      <c r="J8" s="64">
        <f t="shared" si="1"/>
        <v>-0.11454632792867718</v>
      </c>
      <c r="K8" s="64">
        <f t="shared" si="1"/>
        <v>-0.1312586687325844</v>
      </c>
      <c r="L8" s="64">
        <f t="shared" si="1"/>
        <v>-0.1482357567188391</v>
      </c>
    </row>
    <row r="9" spans="2:13" x14ac:dyDescent="0.25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spans="2:13" x14ac:dyDescent="0.25">
      <c r="B10" s="66" t="s">
        <v>171</v>
      </c>
      <c r="C10">
        <f>'Historical Financials'!C31</f>
        <v>30465</v>
      </c>
      <c r="D10">
        <f>'Historical Financials'!D31</f>
        <v>36924.1</v>
      </c>
      <c r="E10">
        <f>'Historical Financials'!E31</f>
        <v>42408.4</v>
      </c>
      <c r="F10">
        <f>'Historical Financials'!F31</f>
        <v>46941.1</v>
      </c>
      <c r="G10">
        <f>'Historical Financials'!G31</f>
        <v>49262</v>
      </c>
      <c r="H10">
        <f>'Historical Financials'!H31</f>
        <v>52349.599999999999</v>
      </c>
      <c r="I10">
        <f>'Historical Financials'!I31</f>
        <v>55182.5</v>
      </c>
      <c r="J10">
        <f>'Historical Financials'!J31</f>
        <v>74443</v>
      </c>
      <c r="K10">
        <f>'Historical Financials'!K31</f>
        <v>85478.8</v>
      </c>
      <c r="L10">
        <f>'Historical Financials'!L31</f>
        <v>96082.7</v>
      </c>
    </row>
    <row r="11" spans="2:13" x14ac:dyDescent="0.25">
      <c r="B11" t="s">
        <v>76</v>
      </c>
      <c r="C11">
        <f>'Historical Financials'!C47</f>
        <v>47232.2</v>
      </c>
      <c r="D11">
        <f>'Historical Financials'!D47</f>
        <v>56450.3</v>
      </c>
      <c r="E11">
        <f>'Historical Financials'!E47</f>
        <v>64948</v>
      </c>
      <c r="F11">
        <f>'Historical Financials'!F47</f>
        <v>69791.900000000009</v>
      </c>
      <c r="G11">
        <f>'Historical Financials'!G47</f>
        <v>68848.3</v>
      </c>
      <c r="H11">
        <f>'Historical Financials'!H47</f>
        <v>78752.100000000006</v>
      </c>
      <c r="I11">
        <f>'Historical Financials'!I47</f>
        <v>83264.5</v>
      </c>
      <c r="J11">
        <f>'Historical Financials'!J47</f>
        <v>111582.80000000002</v>
      </c>
      <c r="K11">
        <f>'Historical Financials'!K47</f>
        <v>128046.40000000001</v>
      </c>
      <c r="L11">
        <f>'Historical Financials'!L47</f>
        <v>145977.59999999998</v>
      </c>
    </row>
    <row r="12" spans="2:13" x14ac:dyDescent="0.25">
      <c r="B12" s="103" t="s">
        <v>172</v>
      </c>
      <c r="C12" s="64">
        <f>C10/C11</f>
        <v>0.64500489073132317</v>
      </c>
      <c r="D12" s="64">
        <f t="shared" ref="D12:L12" si="2">D10/D11</f>
        <v>0.65409926962301346</v>
      </c>
      <c r="E12" s="64">
        <f t="shared" si="2"/>
        <v>0.65295929050933055</v>
      </c>
      <c r="F12" s="64">
        <f t="shared" si="2"/>
        <v>0.67258664687449388</v>
      </c>
      <c r="G12" s="64">
        <f t="shared" si="2"/>
        <v>0.71551512528268668</v>
      </c>
      <c r="H12" s="64">
        <f t="shared" si="2"/>
        <v>0.66473909902085149</v>
      </c>
      <c r="I12" s="64">
        <f t="shared" si="2"/>
        <v>0.66273742110983669</v>
      </c>
      <c r="J12" s="64">
        <f t="shared" si="2"/>
        <v>0.66715479446653059</v>
      </c>
      <c r="K12" s="64">
        <f t="shared" si="2"/>
        <v>0.66756113408889273</v>
      </c>
      <c r="L12" s="64">
        <f t="shared" si="2"/>
        <v>0.65820166929720736</v>
      </c>
    </row>
    <row r="13" spans="2:13" x14ac:dyDescent="0.25"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2:13" x14ac:dyDescent="0.25">
      <c r="B14" s="75" t="s">
        <v>16</v>
      </c>
      <c r="C14">
        <f>'Historical Financials'!C13</f>
        <v>6202.2999999999947</v>
      </c>
      <c r="D14">
        <f>'Historical Financials'!D13</f>
        <v>7817.4</v>
      </c>
      <c r="E14">
        <f>'Historical Financials'!E13</f>
        <v>9358.0999999999876</v>
      </c>
      <c r="F14">
        <f>'Historical Financials'!F13</f>
        <v>8035.5000000000027</v>
      </c>
      <c r="G14">
        <f>'Historical Financials'!G13</f>
        <v>3826.6000000000017</v>
      </c>
      <c r="H14">
        <f>'Historical Financials'!H13</f>
        <v>2376.5000000000023</v>
      </c>
      <c r="I14">
        <f>'Historical Financials'!I13</f>
        <v>2963.0000000000146</v>
      </c>
      <c r="J14">
        <f>'Historical Financials'!J13</f>
        <v>8275.5000000000036</v>
      </c>
      <c r="K14">
        <f>'Historical Financials'!K13</f>
        <v>13370.500000000015</v>
      </c>
      <c r="L14">
        <f>'Historical Financials'!L13</f>
        <v>14548.099999999995</v>
      </c>
    </row>
    <row r="15" spans="2:13" x14ac:dyDescent="0.25">
      <c r="B15" t="s">
        <v>76</v>
      </c>
      <c r="C15">
        <f>'Historical Financials'!C47</f>
        <v>47232.2</v>
      </c>
      <c r="D15">
        <f>'Historical Financials'!D47</f>
        <v>56450.3</v>
      </c>
      <c r="E15">
        <f>'Historical Financials'!E47</f>
        <v>64948</v>
      </c>
      <c r="F15">
        <f>'Historical Financials'!F47</f>
        <v>69791.900000000009</v>
      </c>
      <c r="G15">
        <f>'Historical Financials'!G47</f>
        <v>68848.3</v>
      </c>
      <c r="H15">
        <f>'Historical Financials'!H47</f>
        <v>78752.100000000006</v>
      </c>
      <c r="I15">
        <f>'Historical Financials'!I47</f>
        <v>83264.5</v>
      </c>
      <c r="J15">
        <f>'Historical Financials'!J47</f>
        <v>111582.80000000002</v>
      </c>
      <c r="K15">
        <f>'Historical Financials'!K47</f>
        <v>128046.40000000001</v>
      </c>
      <c r="L15">
        <f>'Historical Financials'!L47</f>
        <v>145977.59999999998</v>
      </c>
    </row>
    <row r="16" spans="2:13" x14ac:dyDescent="0.25">
      <c r="B16" s="103" t="s">
        <v>173</v>
      </c>
      <c r="C16" s="64">
        <f>C14/C15</f>
        <v>0.13131507742599319</v>
      </c>
      <c r="D16" s="64">
        <f t="shared" ref="D16:L16" si="3">D14/D15</f>
        <v>0.13848287785893076</v>
      </c>
      <c r="E16" s="64">
        <f t="shared" si="3"/>
        <v>0.144086038061218</v>
      </c>
      <c r="F16" s="64">
        <f t="shared" si="3"/>
        <v>0.11513513745864494</v>
      </c>
      <c r="G16" s="64">
        <f t="shared" si="3"/>
        <v>5.5580166830553571E-2</v>
      </c>
      <c r="H16" s="64">
        <f t="shared" si="3"/>
        <v>3.0176973058496245E-2</v>
      </c>
      <c r="I16" s="64">
        <f t="shared" si="3"/>
        <v>3.5585393535060135E-2</v>
      </c>
      <c r="J16" s="64">
        <f t="shared" si="3"/>
        <v>7.4164656201493442E-2</v>
      </c>
      <c r="K16" s="64">
        <f t="shared" si="3"/>
        <v>0.10441917929750476</v>
      </c>
      <c r="L16" s="64">
        <f t="shared" si="3"/>
        <v>9.9659810820290212E-2</v>
      </c>
    </row>
    <row r="17" spans="2:12" x14ac:dyDescent="0.25"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2:12" x14ac:dyDescent="0.25">
      <c r="B18" s="75" t="s">
        <v>174</v>
      </c>
      <c r="C18" s="80">
        <f>('Data Sheet'!B70*'Data Sheet'!B90)/10000000</f>
        <v>112262.0126978</v>
      </c>
      <c r="D18" s="80">
        <f>('Data Sheet'!C70*'Data Sheet'!C90)/10000000</f>
        <v>181722.3016942</v>
      </c>
      <c r="E18" s="80">
        <f>('Data Sheet'!D70*'Data Sheet'!D90)/10000000</f>
        <v>267676.16196659999</v>
      </c>
      <c r="F18" s="80">
        <f>('Data Sheet'!E70*'Data Sheet'!E90)/10000000</f>
        <v>201564.43043529999</v>
      </c>
      <c r="G18" s="80">
        <f>('Data Sheet'!F70*'Data Sheet'!F90)/10000000</f>
        <v>129540.9921298</v>
      </c>
      <c r="H18" s="80">
        <f>('Data Sheet'!G70*'Data Sheet'!G90)/10000000</f>
        <v>207202.7547552</v>
      </c>
      <c r="I18" s="80">
        <f>('Data Sheet'!H70*'Data Sheet'!H90)/10000000</f>
        <v>228411.79576780001</v>
      </c>
      <c r="J18" s="80">
        <f>('Data Sheet'!I70*'Data Sheet'!I90)/10000000</f>
        <v>250489.3169529</v>
      </c>
      <c r="K18" s="80">
        <f>('Data Sheet'!J70*'Data Sheet'!J90)/10000000</f>
        <v>396158.24733008997</v>
      </c>
      <c r="L18" s="80">
        <f>('Data Sheet'!K70*'Data Sheet'!K90)/10000000</f>
        <v>0</v>
      </c>
    </row>
    <row r="19" spans="2:12" x14ac:dyDescent="0.25">
      <c r="B19" t="s">
        <v>74</v>
      </c>
      <c r="C19">
        <f>'Historical Financials'!C34</f>
        <v>42725.5</v>
      </c>
      <c r="D19">
        <f>'Historical Financials'!D34</f>
        <v>51960.5</v>
      </c>
      <c r="E19">
        <f>'Historical Financials'!E34</f>
        <v>60248.400000000009</v>
      </c>
      <c r="F19">
        <f>'Historical Financials'!F34</f>
        <v>63968.7</v>
      </c>
      <c r="G19">
        <f>'Historical Financials'!G34</f>
        <v>63627.7</v>
      </c>
      <c r="H19">
        <f>'Historical Financials'!H34</f>
        <v>71376.100000000006</v>
      </c>
      <c r="I19">
        <f>'Historical Financials'!I34</f>
        <v>74655.5</v>
      </c>
      <c r="J19">
        <f>'Historical Financials'!J34</f>
        <v>100106</v>
      </c>
      <c r="K19">
        <f>'Historical Financials'!K34</f>
        <v>115304.1</v>
      </c>
      <c r="L19">
        <f>'Historical Financials'!L34</f>
        <v>131971.79999999999</v>
      </c>
    </row>
    <row r="20" spans="2:12" x14ac:dyDescent="0.25">
      <c r="B20" s="103" t="s">
        <v>175</v>
      </c>
      <c r="C20" s="64">
        <f>C18/C19</f>
        <v>2.6275178218581412</v>
      </c>
      <c r="D20" s="64">
        <f t="shared" ref="D20:L20" si="4">D18/D19</f>
        <v>3.4973162632037798</v>
      </c>
      <c r="E20" s="64">
        <f t="shared" si="4"/>
        <v>4.4428758600493943</v>
      </c>
      <c r="F20" s="64">
        <f t="shared" si="4"/>
        <v>3.1509852542774826</v>
      </c>
      <c r="G20" s="64">
        <f t="shared" si="4"/>
        <v>2.0359213381876131</v>
      </c>
      <c r="H20" s="64">
        <f t="shared" si="4"/>
        <v>2.9029710891348781</v>
      </c>
      <c r="I20" s="64">
        <f t="shared" si="4"/>
        <v>3.0595441162111299</v>
      </c>
      <c r="J20" s="64">
        <f t="shared" si="4"/>
        <v>2.5022407942870557</v>
      </c>
      <c r="K20" s="64">
        <f t="shared" si="4"/>
        <v>3.4357689564385825</v>
      </c>
      <c r="L20" s="64">
        <f t="shared" si="4"/>
        <v>0</v>
      </c>
    </row>
    <row r="21" spans="2:12" x14ac:dyDescent="0.25"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2:12" x14ac:dyDescent="0.25">
      <c r="B22" s="75" t="s">
        <v>30</v>
      </c>
      <c r="C22">
        <f>'Historical Financials'!C7</f>
        <v>57589</v>
      </c>
      <c r="D22">
        <f>'Historical Financials'!D7</f>
        <v>68085</v>
      </c>
      <c r="E22">
        <f>'Historical Financials'!E7</f>
        <v>79809.399999999994</v>
      </c>
      <c r="F22">
        <f>'Historical Financials'!F7</f>
        <v>86068.5</v>
      </c>
      <c r="G22">
        <f>'Historical Financials'!G7</f>
        <v>75660</v>
      </c>
      <c r="H22">
        <f>'Historical Financials'!H7</f>
        <v>70372</v>
      </c>
      <c r="I22">
        <f>'Historical Financials'!I7</f>
        <v>88329.8</v>
      </c>
      <c r="J22">
        <f>'Historical Financials'!J7</f>
        <v>118409.9</v>
      </c>
      <c r="K22">
        <f>'Historical Financials'!K7</f>
        <v>141858.20000000001</v>
      </c>
      <c r="L22">
        <f>'Historical Financials'!L7</f>
        <v>152913</v>
      </c>
    </row>
    <row r="23" spans="2:12" x14ac:dyDescent="0.25">
      <c r="B23" t="s">
        <v>76</v>
      </c>
      <c r="C23">
        <f>'Historical Financials'!C47</f>
        <v>47232.2</v>
      </c>
      <c r="D23">
        <f>'Historical Financials'!D47</f>
        <v>56450.3</v>
      </c>
      <c r="E23">
        <f>'Historical Financials'!E47</f>
        <v>64948</v>
      </c>
      <c r="F23">
        <f>'Historical Financials'!F47</f>
        <v>69791.900000000009</v>
      </c>
      <c r="G23">
        <f>'Historical Financials'!G47</f>
        <v>68848.3</v>
      </c>
      <c r="H23">
        <f>'Historical Financials'!H47</f>
        <v>78752.100000000006</v>
      </c>
      <c r="I23">
        <f>'Historical Financials'!I47</f>
        <v>83264.5</v>
      </c>
      <c r="J23">
        <f>'Historical Financials'!J47</f>
        <v>111582.80000000002</v>
      </c>
      <c r="K23">
        <f>'Historical Financials'!K47</f>
        <v>128046.40000000001</v>
      </c>
      <c r="L23">
        <f>'Historical Financials'!L47</f>
        <v>145977.59999999998</v>
      </c>
    </row>
    <row r="24" spans="2:12" x14ac:dyDescent="0.25">
      <c r="B24" s="103" t="s">
        <v>176</v>
      </c>
      <c r="C24" s="107">
        <f>C22/C23</f>
        <v>1.2192741392524593</v>
      </c>
      <c r="D24" s="107">
        <f t="shared" ref="D24:L24" si="5">D22/D23</f>
        <v>1.2061051934179268</v>
      </c>
      <c r="E24" s="107">
        <f t="shared" si="5"/>
        <v>1.228819979060171</v>
      </c>
      <c r="F24" s="107">
        <f t="shared" si="5"/>
        <v>1.2332161755160698</v>
      </c>
      <c r="G24" s="107">
        <f t="shared" si="5"/>
        <v>1.0989378096481686</v>
      </c>
      <c r="H24" s="107">
        <f t="shared" si="5"/>
        <v>0.89358886937618165</v>
      </c>
      <c r="I24" s="107">
        <f t="shared" si="5"/>
        <v>1.0608338487590749</v>
      </c>
      <c r="J24" s="107">
        <f t="shared" si="5"/>
        <v>1.0611841609997237</v>
      </c>
      <c r="K24" s="107">
        <f t="shared" si="5"/>
        <v>1.1078655862249935</v>
      </c>
      <c r="L24" s="107">
        <f t="shared" si="5"/>
        <v>1.0475100289359465</v>
      </c>
    </row>
    <row r="26" spans="2:12" x14ac:dyDescent="0.25">
      <c r="B26" s="106" t="s">
        <v>177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25">
      <c r="B27" s="112" t="s">
        <v>178</v>
      </c>
      <c r="C27" s="120">
        <f>1.2*C8+1.4*C12+3.3*C16+0.6*C20+1*C24</f>
        <v>3.9448380206583824</v>
      </c>
      <c r="D27" s="120">
        <f t="shared" ref="D27:L27" si="6">1.2*D8+1.4*D12+3.3*D16+0.6*D20+1*D24</f>
        <v>4.4665217253343092</v>
      </c>
      <c r="E27" s="120">
        <f t="shared" si="6"/>
        <v>5.0464080620664653</v>
      </c>
      <c r="F27" s="120">
        <f t="shared" si="6"/>
        <v>4.2580668911550648</v>
      </c>
      <c r="G27" s="120">
        <f t="shared" si="6"/>
        <v>3.3520713487590159</v>
      </c>
      <c r="H27" s="120">
        <f t="shared" si="6"/>
        <v>3.4986065350028164</v>
      </c>
      <c r="I27" s="120">
        <f t="shared" si="6"/>
        <v>3.7935620419093015</v>
      </c>
      <c r="J27" s="120">
        <f t="shared" si="6"/>
        <v>3.6038331217756157</v>
      </c>
      <c r="K27" s="120">
        <f t="shared" si="6"/>
        <v>4.2909854370152569</v>
      </c>
      <c r="L27" s="120">
        <f t="shared" si="6"/>
        <v>2.1199868335963874</v>
      </c>
    </row>
    <row r="28" spans="2:12" ht="15.75" thickBot="1" x14ac:dyDescent="0.3">
      <c r="B28" s="113" t="s">
        <v>179</v>
      </c>
      <c r="C28" s="119" t="str">
        <f>IF(C27&lt;1.81,"Distress Zone",IF(AND(C27&gt;1.81,C27&lt;2.99),"Gray Zone",IF(C27&gt;2.99,"Safe Zone","NA")))</f>
        <v>Safe Zone</v>
      </c>
      <c r="D28" s="119" t="str">
        <f t="shared" ref="D28:L28" si="7">IF(D27&lt;1.81,"Distress Zone",IF(AND(D27&gt;1.81,D27&lt;2.99),"Gray Zone",IF(D27&gt;2.99,"Safe Zone","NA")))</f>
        <v>Safe Zone</v>
      </c>
      <c r="E28" s="119" t="str">
        <f t="shared" si="7"/>
        <v>Safe Zone</v>
      </c>
      <c r="F28" s="119" t="str">
        <f t="shared" si="7"/>
        <v>Safe Zone</v>
      </c>
      <c r="G28" s="119" t="str">
        <f t="shared" si="7"/>
        <v>Safe Zone</v>
      </c>
      <c r="H28" s="119" t="str">
        <f t="shared" si="7"/>
        <v>Safe Zone</v>
      </c>
      <c r="I28" s="119" t="str">
        <f t="shared" si="7"/>
        <v>Safe Zone</v>
      </c>
      <c r="J28" s="119" t="str">
        <f t="shared" si="7"/>
        <v>Safe Zone</v>
      </c>
      <c r="K28" s="119" t="str">
        <f t="shared" si="7"/>
        <v>Safe Zone</v>
      </c>
      <c r="L28" s="118" t="str">
        <f t="shared" si="7"/>
        <v>Gray Zone</v>
      </c>
    </row>
    <row r="29" spans="2:12" ht="15.75" thickTop="1" x14ac:dyDescent="0.25"/>
  </sheetData>
  <mergeCells count="1">
    <mergeCell ref="B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4"/>
  <sheetViews>
    <sheetView workbookViewId="0">
      <pane xSplit="1" ySplit="4" topLeftCell="B21" activePane="bottomRight" state="frozen"/>
      <selection pane="topRight" activeCell="B1" sqref="B1"/>
      <selection pane="bottomLeft" activeCell="A5" sqref="A5"/>
      <selection pane="bottomRight" activeCell="K32" sqref="K32"/>
    </sheetView>
  </sheetViews>
  <sheetFormatPr defaultRowHeight="15" x14ac:dyDescent="0.25"/>
  <cols>
    <col min="1" max="1" width="1.85546875" customWidth="1"/>
    <col min="2" max="19" width="13.7109375" customWidth="1"/>
  </cols>
  <sheetData>
    <row r="2" spans="2:15" x14ac:dyDescent="0.25">
      <c r="B2" t="s">
        <v>180</v>
      </c>
      <c r="G2" t="s">
        <v>180</v>
      </c>
      <c r="L2" t="s">
        <v>180</v>
      </c>
    </row>
    <row r="3" spans="2:15" x14ac:dyDescent="0.25">
      <c r="B3" s="170" t="str">
        <f>"Sales Forecasting"&amp;" - "&amp;'Historical Financials'!B1</f>
        <v>Sales Forecasting - MARUTI SUZUKI LTD</v>
      </c>
      <c r="C3" s="170"/>
      <c r="D3" s="170"/>
      <c r="E3" s="170"/>
      <c r="G3" s="167" t="str">
        <f>"EBITDA Forecasting"&amp;" - "&amp;'Historical Financials'!B1</f>
        <v>EBITDA Forecasting - MARUTI SUZUKI LTD</v>
      </c>
      <c r="H3" s="167"/>
      <c r="I3" s="167"/>
      <c r="J3" s="167"/>
      <c r="L3" s="167" t="str">
        <f>"EPS Forecasting"&amp;" - "&amp;'Historical Financials'!B1</f>
        <v>EPS Forecasting - MARUTI SUZUKI LTD</v>
      </c>
      <c r="M3" s="167"/>
      <c r="N3" s="167"/>
      <c r="O3" s="167"/>
    </row>
    <row r="4" spans="2:15" x14ac:dyDescent="0.25">
      <c r="B4" s="106" t="s">
        <v>181</v>
      </c>
      <c r="C4" s="106" t="s">
        <v>120</v>
      </c>
      <c r="D4" s="106" t="s">
        <v>30</v>
      </c>
      <c r="E4" s="106" t="s">
        <v>182</v>
      </c>
      <c r="G4" s="106" t="s">
        <v>181</v>
      </c>
      <c r="H4" s="106" t="s">
        <v>120</v>
      </c>
      <c r="I4" s="106" t="s">
        <v>3</v>
      </c>
      <c r="J4" s="106" t="s">
        <v>130</v>
      </c>
      <c r="L4" s="106" t="s">
        <v>181</v>
      </c>
      <c r="M4" s="106" t="s">
        <v>120</v>
      </c>
      <c r="N4" s="106" t="s">
        <v>68</v>
      </c>
      <c r="O4" s="106" t="s">
        <v>184</v>
      </c>
    </row>
    <row r="5" spans="2:15" x14ac:dyDescent="0.25">
      <c r="B5" s="122">
        <v>1</v>
      </c>
      <c r="C5" s="123">
        <v>2016</v>
      </c>
      <c r="D5" s="124">
        <f t="array" ref="D5:D14">TRANSPOSE('Historical Financials'!C7:L7)</f>
        <v>57589</v>
      </c>
      <c r="E5" s="125"/>
      <c r="G5" s="122">
        <v>1</v>
      </c>
      <c r="H5" s="123">
        <v>2016</v>
      </c>
      <c r="I5" s="124">
        <f t="array" ref="I5:I14">TRANSPOSE('Historical Financials'!C11:L11)</f>
        <v>9024.0999999999949</v>
      </c>
      <c r="J5" s="57"/>
      <c r="L5" s="122">
        <v>1</v>
      </c>
      <c r="M5" s="123">
        <v>2016</v>
      </c>
      <c r="N5" s="124">
        <f t="array" ref="N5:N14">TRANSPOSE('Historical Financials'!C22:L22)</f>
        <v>85.066225165562741</v>
      </c>
    </row>
    <row r="6" spans="2:15" x14ac:dyDescent="0.25">
      <c r="B6" s="122">
        <f>B5+1</f>
        <v>2</v>
      </c>
      <c r="C6" s="123">
        <f>C5+1</f>
        <v>2017</v>
      </c>
      <c r="D6" s="124">
        <v>68085</v>
      </c>
      <c r="E6" s="57">
        <f t="shared" ref="E6:E19" si="0">(D6-D5)/D5</f>
        <v>0.18225702825192311</v>
      </c>
      <c r="G6" s="122">
        <f>G5+1</f>
        <v>2</v>
      </c>
      <c r="H6" s="123">
        <f>H5+1</f>
        <v>2017</v>
      </c>
      <c r="I6" s="124">
        <v>10421.299999999999</v>
      </c>
      <c r="J6" s="57">
        <f t="shared" ref="J6:J19" si="1">(I6-I5)/I5</f>
        <v>0.15482984452743268</v>
      </c>
      <c r="L6" s="122">
        <f>L5+1</f>
        <v>2</v>
      </c>
      <c r="M6" s="123">
        <f>M5+1</f>
        <v>2017</v>
      </c>
      <c r="N6" s="124">
        <v>89.821192052980123</v>
      </c>
      <c r="O6" s="130">
        <f>(N6-N5)/N5</f>
        <v>5.5897236278709704E-2</v>
      </c>
    </row>
    <row r="7" spans="2:15" x14ac:dyDescent="0.25">
      <c r="B7" s="122">
        <f t="shared" ref="B7:B19" si="2">B6+1</f>
        <v>3</v>
      </c>
      <c r="C7" s="123">
        <f t="shared" ref="C7:C19" si="3">C6+1</f>
        <v>2018</v>
      </c>
      <c r="D7" s="124">
        <v>79809.399999999994</v>
      </c>
      <c r="E7" s="57">
        <f t="shared" si="0"/>
        <v>0.17220239406624063</v>
      </c>
      <c r="G7" s="122">
        <f t="shared" ref="G7:G19" si="4">G6+1</f>
        <v>3</v>
      </c>
      <c r="H7" s="123">
        <f t="shared" ref="H7:H19" si="5">H6+1</f>
        <v>2018</v>
      </c>
      <c r="I7" s="124">
        <v>12117.899999999987</v>
      </c>
      <c r="J7" s="57">
        <f t="shared" si="1"/>
        <v>0.16280118603245158</v>
      </c>
      <c r="L7" s="122">
        <f t="shared" ref="L7:L19" si="6">L6+1</f>
        <v>3</v>
      </c>
      <c r="M7" s="123">
        <f t="shared" ref="M7:M19" si="7">M6+1</f>
        <v>2018</v>
      </c>
      <c r="N7" s="124">
        <v>118.26158940397312</v>
      </c>
      <c r="O7" s="130">
        <f t="shared" ref="O7:O19" si="8">(N7-N6)/N6</f>
        <v>0.31663348816633063</v>
      </c>
    </row>
    <row r="8" spans="2:15" x14ac:dyDescent="0.25">
      <c r="B8" s="122">
        <f t="shared" si="2"/>
        <v>4</v>
      </c>
      <c r="C8" s="123">
        <f t="shared" si="3"/>
        <v>2019</v>
      </c>
      <c r="D8" s="124">
        <v>86068.5</v>
      </c>
      <c r="E8" s="57">
        <f t="shared" si="0"/>
        <v>7.8425598989592782E-2</v>
      </c>
      <c r="G8" s="122">
        <f t="shared" si="4"/>
        <v>4</v>
      </c>
      <c r="H8" s="123">
        <f t="shared" si="5"/>
        <v>2019</v>
      </c>
      <c r="I8" s="124">
        <v>11056.300000000003</v>
      </c>
      <c r="J8" s="57">
        <f t="shared" si="1"/>
        <v>-8.7605938322645432E-2</v>
      </c>
      <c r="L8" s="122">
        <f t="shared" si="6"/>
        <v>4</v>
      </c>
      <c r="M8" s="123">
        <f t="shared" si="7"/>
        <v>2019</v>
      </c>
      <c r="N8" s="124">
        <v>76.894039735099454</v>
      </c>
      <c r="O8" s="130">
        <f t="shared" si="8"/>
        <v>-0.34979700405991565</v>
      </c>
    </row>
    <row r="9" spans="2:15" x14ac:dyDescent="0.25">
      <c r="B9" s="122">
        <f t="shared" si="2"/>
        <v>5</v>
      </c>
      <c r="C9" s="123">
        <f t="shared" si="3"/>
        <v>2020</v>
      </c>
      <c r="D9" s="124">
        <v>75660</v>
      </c>
      <c r="E9" s="57">
        <f t="shared" si="0"/>
        <v>-0.12093274542951254</v>
      </c>
      <c r="G9" s="122">
        <f t="shared" si="4"/>
        <v>5</v>
      </c>
      <c r="H9" s="123">
        <f t="shared" si="5"/>
        <v>2020</v>
      </c>
      <c r="I9" s="124">
        <v>7355.0000000000018</v>
      </c>
      <c r="J9" s="57">
        <f t="shared" si="1"/>
        <v>-0.33476841257925349</v>
      </c>
      <c r="L9" s="122">
        <f t="shared" si="6"/>
        <v>5</v>
      </c>
      <c r="M9" s="123">
        <f t="shared" si="7"/>
        <v>2020</v>
      </c>
      <c r="N9" s="124">
        <v>-37.85430463576153</v>
      </c>
      <c r="O9" s="130">
        <f t="shared" si="8"/>
        <v>-1.4922917922659533</v>
      </c>
    </row>
    <row r="10" spans="2:15" x14ac:dyDescent="0.25">
      <c r="B10" s="122">
        <f t="shared" si="2"/>
        <v>6</v>
      </c>
      <c r="C10" s="123">
        <f t="shared" si="3"/>
        <v>2021</v>
      </c>
      <c r="D10" s="124">
        <v>70372</v>
      </c>
      <c r="E10" s="57">
        <f t="shared" si="0"/>
        <v>-6.9891620407084326E-2</v>
      </c>
      <c r="G10" s="122">
        <f t="shared" si="4"/>
        <v>6</v>
      </c>
      <c r="H10" s="123">
        <f t="shared" si="5"/>
        <v>2021</v>
      </c>
      <c r="I10" s="124">
        <v>5410.6000000000022</v>
      </c>
      <c r="J10" s="57">
        <f t="shared" si="1"/>
        <v>-0.26436437797416712</v>
      </c>
      <c r="L10" s="122">
        <f t="shared" si="6"/>
        <v>6</v>
      </c>
      <c r="M10" s="123">
        <f t="shared" si="7"/>
        <v>2021</v>
      </c>
      <c r="N10" s="124">
        <v>-56.407284768211859</v>
      </c>
      <c r="O10" s="130">
        <f t="shared" si="8"/>
        <v>0.49011546536039263</v>
      </c>
    </row>
    <row r="11" spans="2:15" x14ac:dyDescent="0.25">
      <c r="B11" s="122">
        <f t="shared" si="2"/>
        <v>7</v>
      </c>
      <c r="C11" s="123">
        <f t="shared" si="3"/>
        <v>2022</v>
      </c>
      <c r="D11" s="124">
        <v>88329.8</v>
      </c>
      <c r="E11" s="57">
        <f t="shared" si="0"/>
        <v>0.25518387995225378</v>
      </c>
      <c r="G11" s="122">
        <f t="shared" si="4"/>
        <v>7</v>
      </c>
      <c r="H11" s="123">
        <f t="shared" si="5"/>
        <v>2022</v>
      </c>
      <c r="I11" s="124">
        <v>5752.0000000000146</v>
      </c>
      <c r="J11" s="57">
        <f t="shared" si="1"/>
        <v>6.3098362473665071E-2</v>
      </c>
      <c r="L11" s="122">
        <f t="shared" si="6"/>
        <v>7</v>
      </c>
      <c r="M11" s="123">
        <f t="shared" si="7"/>
        <v>2022</v>
      </c>
      <c r="N11" s="124">
        <v>5.2284768211925376</v>
      </c>
      <c r="O11" s="130">
        <f t="shared" si="8"/>
        <v>-1.0926915174640532</v>
      </c>
    </row>
    <row r="12" spans="2:15" x14ac:dyDescent="0.25">
      <c r="B12" s="122">
        <f t="shared" si="2"/>
        <v>8</v>
      </c>
      <c r="C12" s="123">
        <f t="shared" si="3"/>
        <v>2023</v>
      </c>
      <c r="D12" s="124">
        <v>118409.9</v>
      </c>
      <c r="E12" s="57">
        <f t="shared" si="0"/>
        <v>0.34054305568449145</v>
      </c>
      <c r="G12" s="122">
        <f t="shared" si="4"/>
        <v>8</v>
      </c>
      <c r="H12" s="123">
        <f t="shared" si="5"/>
        <v>2023</v>
      </c>
      <c r="I12" s="124">
        <v>13121.500000000004</v>
      </c>
      <c r="J12" s="57">
        <f t="shared" si="1"/>
        <v>1.2812065368567402</v>
      </c>
      <c r="L12" s="122">
        <f t="shared" si="6"/>
        <v>8</v>
      </c>
      <c r="M12" s="123">
        <f t="shared" si="7"/>
        <v>2023</v>
      </c>
      <c r="N12" s="124">
        <v>109.2143765903309</v>
      </c>
      <c r="O12" s="130">
        <f t="shared" si="8"/>
        <v>19.888373483392574</v>
      </c>
    </row>
    <row r="13" spans="2:15" x14ac:dyDescent="0.25">
      <c r="B13" s="122">
        <f t="shared" si="2"/>
        <v>9</v>
      </c>
      <c r="C13" s="123">
        <f t="shared" si="3"/>
        <v>2024</v>
      </c>
      <c r="D13" s="124">
        <v>141858.20000000001</v>
      </c>
      <c r="E13" s="57">
        <f t="shared" si="0"/>
        <v>0.19802651636391905</v>
      </c>
      <c r="G13" s="122">
        <f t="shared" si="4"/>
        <v>9</v>
      </c>
      <c r="H13" s="123">
        <f t="shared" si="5"/>
        <v>2024</v>
      </c>
      <c r="I13" s="124">
        <v>18626.300000000014</v>
      </c>
      <c r="J13" s="57">
        <f t="shared" si="1"/>
        <v>0.41952520672179316</v>
      </c>
      <c r="L13" s="122">
        <f t="shared" si="6"/>
        <v>9</v>
      </c>
      <c r="M13" s="123">
        <f t="shared" si="7"/>
        <v>2024</v>
      </c>
      <c r="N13" s="124">
        <v>158.81043256997501</v>
      </c>
      <c r="O13" s="130">
        <f t="shared" si="8"/>
        <v>0.45411655065964096</v>
      </c>
    </row>
    <row r="14" spans="2:15" x14ac:dyDescent="0.25">
      <c r="B14" s="122">
        <f t="shared" si="2"/>
        <v>10</v>
      </c>
      <c r="C14" s="123">
        <f t="shared" si="3"/>
        <v>2025</v>
      </c>
      <c r="D14" s="124">
        <v>152913</v>
      </c>
      <c r="E14" s="57">
        <f t="shared" si="0"/>
        <v>7.7928522989858792E-2</v>
      </c>
      <c r="G14" s="122">
        <f t="shared" si="4"/>
        <v>10</v>
      </c>
      <c r="H14" s="123">
        <f t="shared" si="5"/>
        <v>2025</v>
      </c>
      <c r="I14" s="124">
        <v>20156.299999999996</v>
      </c>
      <c r="J14" s="57">
        <f t="shared" si="1"/>
        <v>8.214191761111872E-2</v>
      </c>
      <c r="L14" s="122">
        <f t="shared" si="6"/>
        <v>10</v>
      </c>
      <c r="M14" s="123">
        <f t="shared" si="7"/>
        <v>2025</v>
      </c>
      <c r="N14" s="124">
        <v>126.20865139949096</v>
      </c>
      <c r="O14" s="130">
        <f t="shared" si="8"/>
        <v>-0.20528740236331172</v>
      </c>
    </row>
    <row r="15" spans="2:15" x14ac:dyDescent="0.25">
      <c r="B15" s="126">
        <f t="shared" si="2"/>
        <v>11</v>
      </c>
      <c r="C15" s="127">
        <f t="shared" si="3"/>
        <v>2026</v>
      </c>
      <c r="D15" s="128">
        <f>_xlfn.FORECAST.LINEAR(B15,$D$4:$D$14,$B$4:$B$14)</f>
        <v>146203.70666666669</v>
      </c>
      <c r="E15" s="129">
        <f t="shared" si="0"/>
        <v>-4.3876539818938257E-2</v>
      </c>
      <c r="G15" s="126">
        <f t="shared" si="4"/>
        <v>11</v>
      </c>
      <c r="H15" s="127">
        <f t="shared" si="5"/>
        <v>2026</v>
      </c>
      <c r="I15" s="128">
        <f>_xlfn.FORECAST.LINEAR(G15,$I$4:$I$14,$G$4:$G$14)</f>
        <v>16130.313333333343</v>
      </c>
      <c r="J15" s="129">
        <f t="shared" si="1"/>
        <v>-0.19973837790996632</v>
      </c>
      <c r="L15" s="126">
        <f t="shared" si="6"/>
        <v>11</v>
      </c>
      <c r="M15" s="127">
        <f t="shared" si="7"/>
        <v>2026</v>
      </c>
      <c r="N15" s="128">
        <f>_xlfn.FORECAST.LINEAR(L15,$N$4:$N$14,$L$4:$L$14)</f>
        <v>86.671698992860996</v>
      </c>
      <c r="O15" s="131">
        <f t="shared" si="8"/>
        <v>-0.3132665785444676</v>
      </c>
    </row>
    <row r="16" spans="2:15" x14ac:dyDescent="0.25">
      <c r="B16" s="126">
        <f t="shared" si="2"/>
        <v>12</v>
      </c>
      <c r="C16" s="127">
        <f t="shared" si="3"/>
        <v>2027</v>
      </c>
      <c r="D16" s="128">
        <f>_xlfn.FORECAST.LINEAR(B16,$D$4:$D$14,$B$4:$B$14)</f>
        <v>155711.74787878789</v>
      </c>
      <c r="E16" s="129">
        <f t="shared" si="0"/>
        <v>6.5032832811816516E-2</v>
      </c>
      <c r="G16" s="126">
        <f t="shared" si="4"/>
        <v>12</v>
      </c>
      <c r="H16" s="127">
        <f t="shared" si="5"/>
        <v>2027</v>
      </c>
      <c r="I16" s="128">
        <f>_xlfn.FORECAST.LINEAR(G16,$I$4:$I$14,$G$4:$G$14)</f>
        <v>17007.801212121223</v>
      </c>
      <c r="J16" s="129">
        <f t="shared" si="1"/>
        <v>5.439992767992604E-2</v>
      </c>
      <c r="L16" s="126">
        <f t="shared" si="6"/>
        <v>12</v>
      </c>
      <c r="M16" s="127">
        <f t="shared" si="7"/>
        <v>2027</v>
      </c>
      <c r="N16" s="128">
        <f>_xlfn.FORECAST.LINEAR(L16,$N$4:$N$14,$L$4:$L$14)</f>
        <v>90.153037094569711</v>
      </c>
      <c r="O16" s="131">
        <f t="shared" si="8"/>
        <v>4.0166953482652597E-2</v>
      </c>
    </row>
    <row r="17" spans="2:15" x14ac:dyDescent="0.25">
      <c r="B17" s="126">
        <f t="shared" si="2"/>
        <v>13</v>
      </c>
      <c r="C17" s="127">
        <f t="shared" si="3"/>
        <v>2028</v>
      </c>
      <c r="D17" s="128">
        <f>_xlfn.FORECAST.LINEAR(B17,$D$4:$D$14,$B$4:$B$14)</f>
        <v>165219.78909090912</v>
      </c>
      <c r="E17" s="129">
        <f t="shared" si="0"/>
        <v>6.1061810310694471E-2</v>
      </c>
      <c r="G17" s="126">
        <f t="shared" si="4"/>
        <v>13</v>
      </c>
      <c r="H17" s="127">
        <f t="shared" si="5"/>
        <v>2028</v>
      </c>
      <c r="I17" s="128">
        <f>_xlfn.FORECAST.LINEAR(G17,$I$4:$I$14,$G$4:$G$14)</f>
        <v>17885.289090909104</v>
      </c>
      <c r="J17" s="129">
        <f t="shared" si="1"/>
        <v>5.1593258166876224E-2</v>
      </c>
      <c r="L17" s="126">
        <f t="shared" si="6"/>
        <v>13</v>
      </c>
      <c r="M17" s="127">
        <f t="shared" si="7"/>
        <v>2028</v>
      </c>
      <c r="N17" s="128">
        <f>_xlfn.FORECAST.LINEAR(L17,$N$4:$N$14,$L$4:$L$14)</f>
        <v>93.634375196278413</v>
      </c>
      <c r="O17" s="131">
        <f t="shared" si="8"/>
        <v>3.8615871565777747E-2</v>
      </c>
    </row>
    <row r="18" spans="2:15" x14ac:dyDescent="0.25">
      <c r="B18" s="126">
        <f t="shared" si="2"/>
        <v>14</v>
      </c>
      <c r="C18" s="127">
        <f t="shared" si="3"/>
        <v>2029</v>
      </c>
      <c r="D18" s="128">
        <f>_xlfn.FORECAST.LINEAR(B18,$D$4:$D$14,$B$4:$B$14)</f>
        <v>174727.83030303032</v>
      </c>
      <c r="E18" s="129">
        <f t="shared" si="0"/>
        <v>5.7547835307364882E-2</v>
      </c>
      <c r="G18" s="126">
        <f t="shared" si="4"/>
        <v>14</v>
      </c>
      <c r="H18" s="127">
        <f t="shared" si="5"/>
        <v>2029</v>
      </c>
      <c r="I18" s="128">
        <f>_xlfn.FORECAST.LINEAR(G18,$I$4:$I$14,$G$4:$G$14)</f>
        <v>18762.776969696981</v>
      </c>
      <c r="J18" s="129">
        <f t="shared" si="1"/>
        <v>4.9061990238329134E-2</v>
      </c>
      <c r="L18" s="126">
        <f t="shared" si="6"/>
        <v>14</v>
      </c>
      <c r="M18" s="127">
        <f t="shared" si="7"/>
        <v>2029</v>
      </c>
      <c r="N18" s="128">
        <f>_xlfn.FORECAST.LINEAR(L18,$N$4:$N$14,$L$4:$L$14)</f>
        <v>97.115713297987114</v>
      </c>
      <c r="O18" s="131">
        <f t="shared" si="8"/>
        <v>3.7180128498866406E-2</v>
      </c>
    </row>
    <row r="19" spans="2:15" x14ac:dyDescent="0.25">
      <c r="B19" s="126">
        <f t="shared" si="2"/>
        <v>15</v>
      </c>
      <c r="C19" s="127">
        <f t="shared" si="3"/>
        <v>2030</v>
      </c>
      <c r="D19" s="128">
        <f>_xlfn.FORECAST.LINEAR(B19,$D$4:$D$14,$B$4:$B$14)</f>
        <v>184235.87151515155</v>
      </c>
      <c r="E19" s="129">
        <f t="shared" si="0"/>
        <v>5.4416295307000845E-2</v>
      </c>
      <c r="G19" s="126">
        <f t="shared" si="4"/>
        <v>15</v>
      </c>
      <c r="H19" s="127">
        <f t="shared" si="5"/>
        <v>2030</v>
      </c>
      <c r="I19" s="128">
        <f>_xlfn.FORECAST.LINEAR(G19,$I$4:$I$14,$G$4:$G$14)</f>
        <v>19640.264848484861</v>
      </c>
      <c r="J19" s="129">
        <f t="shared" si="1"/>
        <v>4.6767484376383978E-2</v>
      </c>
      <c r="L19" s="126">
        <f t="shared" si="6"/>
        <v>15</v>
      </c>
      <c r="M19" s="127">
        <f t="shared" si="7"/>
        <v>2030</v>
      </c>
      <c r="N19" s="128">
        <f>_xlfn.FORECAST.LINEAR(L19,$N$4:$N$14,$L$4:$L$14)</f>
        <v>100.59705139969583</v>
      </c>
      <c r="O19" s="131">
        <f t="shared" si="8"/>
        <v>3.5847320515750895E-2</v>
      </c>
    </row>
    <row r="39" spans="2:15" x14ac:dyDescent="0.25">
      <c r="B39" s="9"/>
      <c r="C39" s="9"/>
      <c r="D39" s="9" t="s">
        <v>185</v>
      </c>
      <c r="E39" s="9" t="s">
        <v>186</v>
      </c>
      <c r="G39" s="9"/>
      <c r="H39" s="9"/>
      <c r="I39" s="9" t="s">
        <v>185</v>
      </c>
      <c r="J39" s="9" t="s">
        <v>186</v>
      </c>
      <c r="L39" s="9"/>
      <c r="M39" s="9"/>
      <c r="N39" s="9" t="s">
        <v>185</v>
      </c>
      <c r="O39" s="9" t="s">
        <v>186</v>
      </c>
    </row>
    <row r="40" spans="2:15" x14ac:dyDescent="0.25">
      <c r="C40" s="133">
        <v>2016</v>
      </c>
      <c r="D40" s="132">
        <v>57589</v>
      </c>
      <c r="H40" s="133">
        <v>2016</v>
      </c>
      <c r="I40" s="132">
        <v>9024.0999999999949</v>
      </c>
      <c r="M40" s="133">
        <v>2016</v>
      </c>
      <c r="N40" s="134">
        <v>85.066225165562741</v>
      </c>
    </row>
    <row r="41" spans="2:15" x14ac:dyDescent="0.25">
      <c r="C41" s="133">
        <f>C40+1</f>
        <v>2017</v>
      </c>
      <c r="D41" s="132">
        <v>68085</v>
      </c>
      <c r="H41" s="133">
        <f>H40+1</f>
        <v>2017</v>
      </c>
      <c r="I41" s="132">
        <v>10421.299999999999</v>
      </c>
      <c r="M41" s="133">
        <f>M40+1</f>
        <v>2017</v>
      </c>
      <c r="N41" s="134">
        <v>89.821192052980123</v>
      </c>
    </row>
    <row r="42" spans="2:15" x14ac:dyDescent="0.25">
      <c r="C42" s="133">
        <f t="shared" ref="C42:C54" si="9">C41+1</f>
        <v>2018</v>
      </c>
      <c r="D42" s="132">
        <v>79809.399999999994</v>
      </c>
      <c r="H42" s="133">
        <f t="shared" ref="H42:H54" si="10">H41+1</f>
        <v>2018</v>
      </c>
      <c r="I42" s="132">
        <v>12117.899999999987</v>
      </c>
      <c r="M42" s="133">
        <f t="shared" ref="M42:M54" si="11">M41+1</f>
        <v>2018</v>
      </c>
      <c r="N42" s="134">
        <v>118.26158940397312</v>
      </c>
    </row>
    <row r="43" spans="2:15" x14ac:dyDescent="0.25">
      <c r="C43" s="133">
        <f t="shared" si="9"/>
        <v>2019</v>
      </c>
      <c r="D43" s="132">
        <v>86068.5</v>
      </c>
      <c r="H43" s="133">
        <f t="shared" si="10"/>
        <v>2019</v>
      </c>
      <c r="I43" s="132">
        <v>11056.300000000003</v>
      </c>
      <c r="M43" s="133">
        <f t="shared" si="11"/>
        <v>2019</v>
      </c>
      <c r="N43" s="134">
        <v>76.894039735099454</v>
      </c>
    </row>
    <row r="44" spans="2:15" x14ac:dyDescent="0.25">
      <c r="C44" s="133">
        <f t="shared" si="9"/>
        <v>2020</v>
      </c>
      <c r="D44" s="132">
        <v>75660</v>
      </c>
      <c r="H44" s="133">
        <f t="shared" si="10"/>
        <v>2020</v>
      </c>
      <c r="I44" s="132">
        <v>7355.0000000000018</v>
      </c>
      <c r="M44" s="133">
        <f t="shared" si="11"/>
        <v>2020</v>
      </c>
      <c r="N44" s="134">
        <v>-37.85430463576153</v>
      </c>
    </row>
    <row r="45" spans="2:15" x14ac:dyDescent="0.25">
      <c r="C45" s="133">
        <f t="shared" si="9"/>
        <v>2021</v>
      </c>
      <c r="D45" s="132">
        <v>70372</v>
      </c>
      <c r="H45" s="133">
        <f t="shared" si="10"/>
        <v>2021</v>
      </c>
      <c r="I45" s="132">
        <v>5410.6000000000022</v>
      </c>
      <c r="M45" s="133">
        <f t="shared" si="11"/>
        <v>2021</v>
      </c>
      <c r="N45" s="134">
        <v>-56.407284768211859</v>
      </c>
    </row>
    <row r="46" spans="2:15" x14ac:dyDescent="0.25">
      <c r="C46" s="133">
        <f t="shared" si="9"/>
        <v>2022</v>
      </c>
      <c r="D46" s="132">
        <v>88329.8</v>
      </c>
      <c r="H46" s="133">
        <f t="shared" si="10"/>
        <v>2022</v>
      </c>
      <c r="I46" s="132">
        <v>5752.0000000000146</v>
      </c>
      <c r="M46" s="133">
        <f t="shared" si="11"/>
        <v>2022</v>
      </c>
      <c r="N46" s="134">
        <v>5.2284768211925376</v>
      </c>
    </row>
    <row r="47" spans="2:15" x14ac:dyDescent="0.25">
      <c r="C47" s="133">
        <f t="shared" si="9"/>
        <v>2023</v>
      </c>
      <c r="D47" s="132">
        <v>118409.9</v>
      </c>
      <c r="H47" s="133">
        <f t="shared" si="10"/>
        <v>2023</v>
      </c>
      <c r="I47" s="132">
        <v>13121.500000000004</v>
      </c>
      <c r="M47" s="133">
        <f t="shared" si="11"/>
        <v>2023</v>
      </c>
      <c r="N47" s="134">
        <v>109.2143765903309</v>
      </c>
    </row>
    <row r="48" spans="2:15" x14ac:dyDescent="0.25">
      <c r="C48" s="133">
        <f t="shared" si="9"/>
        <v>2024</v>
      </c>
      <c r="D48" s="132">
        <v>141858.20000000001</v>
      </c>
      <c r="H48" s="133">
        <f t="shared" si="10"/>
        <v>2024</v>
      </c>
      <c r="I48" s="132">
        <v>18626.300000000014</v>
      </c>
      <c r="M48" s="133">
        <f t="shared" si="11"/>
        <v>2024</v>
      </c>
      <c r="N48" s="134">
        <v>158.81043256997501</v>
      </c>
    </row>
    <row r="49" spans="2:15" x14ac:dyDescent="0.25">
      <c r="B49" s="136"/>
      <c r="C49" s="137">
        <f t="shared" si="9"/>
        <v>2025</v>
      </c>
      <c r="D49" s="138">
        <v>152913</v>
      </c>
      <c r="E49" s="138">
        <v>152913</v>
      </c>
      <c r="G49" s="136"/>
      <c r="H49" s="137">
        <f t="shared" si="10"/>
        <v>2025</v>
      </c>
      <c r="I49" s="138">
        <v>20156.299999999996</v>
      </c>
      <c r="J49" s="138">
        <v>20156.299999999996</v>
      </c>
      <c r="L49" s="136"/>
      <c r="M49" s="137">
        <f t="shared" si="11"/>
        <v>2025</v>
      </c>
      <c r="N49" s="140">
        <v>126.20865139949096</v>
      </c>
      <c r="O49" s="140">
        <v>126.20865139949096</v>
      </c>
    </row>
    <row r="50" spans="2:15" x14ac:dyDescent="0.25">
      <c r="B50" s="136"/>
      <c r="C50" s="139">
        <f t="shared" si="9"/>
        <v>2026</v>
      </c>
      <c r="D50" s="136"/>
      <c r="E50" s="138">
        <v>146203.70666666669</v>
      </c>
      <c r="G50" s="136"/>
      <c r="H50" s="139">
        <f t="shared" si="10"/>
        <v>2026</v>
      </c>
      <c r="I50" s="136"/>
      <c r="J50" s="138">
        <v>16130.313333333343</v>
      </c>
      <c r="L50" s="136"/>
      <c r="M50" s="139">
        <f t="shared" si="11"/>
        <v>2026</v>
      </c>
      <c r="N50" s="136"/>
      <c r="O50" s="140">
        <v>86.671698992860996</v>
      </c>
    </row>
    <row r="51" spans="2:15" x14ac:dyDescent="0.25">
      <c r="B51" s="136"/>
      <c r="C51" s="139">
        <f t="shared" si="9"/>
        <v>2027</v>
      </c>
      <c r="D51" s="136"/>
      <c r="E51" s="138">
        <v>155711.74787878789</v>
      </c>
      <c r="G51" s="136"/>
      <c r="H51" s="139">
        <f t="shared" si="10"/>
        <v>2027</v>
      </c>
      <c r="I51" s="136"/>
      <c r="J51" s="138">
        <v>17007.801212121223</v>
      </c>
      <c r="L51" s="136"/>
      <c r="M51" s="139">
        <f t="shared" si="11"/>
        <v>2027</v>
      </c>
      <c r="N51" s="136"/>
      <c r="O51" s="140">
        <v>90.153037094569711</v>
      </c>
    </row>
    <row r="52" spans="2:15" x14ac:dyDescent="0.25">
      <c r="B52" s="136"/>
      <c r="C52" s="139">
        <f t="shared" si="9"/>
        <v>2028</v>
      </c>
      <c r="D52" s="136"/>
      <c r="E52" s="138">
        <v>165219.78909090912</v>
      </c>
      <c r="G52" s="136"/>
      <c r="H52" s="139">
        <f t="shared" si="10"/>
        <v>2028</v>
      </c>
      <c r="I52" s="136"/>
      <c r="J52" s="138">
        <v>17885.289090909104</v>
      </c>
      <c r="L52" s="136"/>
      <c r="M52" s="139">
        <f t="shared" si="11"/>
        <v>2028</v>
      </c>
      <c r="N52" s="136"/>
      <c r="O52" s="140">
        <v>93.634375196278413</v>
      </c>
    </row>
    <row r="53" spans="2:15" x14ac:dyDescent="0.25">
      <c r="B53" s="136"/>
      <c r="C53" s="139">
        <f t="shared" si="9"/>
        <v>2029</v>
      </c>
      <c r="D53" s="136"/>
      <c r="E53" s="138">
        <v>174727.83030303032</v>
      </c>
      <c r="G53" s="136"/>
      <c r="H53" s="139">
        <f t="shared" si="10"/>
        <v>2029</v>
      </c>
      <c r="I53" s="136"/>
      <c r="J53" s="138">
        <v>18762.776969696981</v>
      </c>
      <c r="L53" s="136"/>
      <c r="M53" s="139">
        <f t="shared" si="11"/>
        <v>2029</v>
      </c>
      <c r="N53" s="136"/>
      <c r="O53" s="140">
        <v>97.115713297987114</v>
      </c>
    </row>
    <row r="54" spans="2:15" x14ac:dyDescent="0.25">
      <c r="B54" s="136"/>
      <c r="C54" s="139">
        <f t="shared" si="9"/>
        <v>2030</v>
      </c>
      <c r="D54" s="136"/>
      <c r="E54" s="138">
        <v>184235.87151515155</v>
      </c>
      <c r="G54" s="136"/>
      <c r="H54" s="139">
        <f t="shared" si="10"/>
        <v>2030</v>
      </c>
      <c r="I54" s="136"/>
      <c r="J54" s="138">
        <v>19640.264848484861</v>
      </c>
      <c r="L54" s="136"/>
      <c r="M54" s="139">
        <f t="shared" si="11"/>
        <v>2030</v>
      </c>
      <c r="N54" s="136"/>
      <c r="O54" s="140">
        <v>100.59705139969583</v>
      </c>
    </row>
  </sheetData>
  <mergeCells count="3">
    <mergeCell ref="B3:E3"/>
    <mergeCell ref="G3:J3"/>
    <mergeCell ref="L3:O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0"/>
  <sheetViews>
    <sheetView tabSelected="1" workbookViewId="0">
      <pane xSplit="1" ySplit="11" topLeftCell="C12" activePane="bottomRight" state="frozen"/>
      <selection pane="topRight" activeCell="B1" sqref="B1"/>
      <selection pane="bottomLeft" activeCell="A11" sqref="A11"/>
      <selection pane="bottomRight" activeCell="C11" sqref="C11"/>
    </sheetView>
  </sheetViews>
  <sheetFormatPr defaultRowHeight="15" outlineLevelRow="1" x14ac:dyDescent="0.25"/>
  <cols>
    <col min="1" max="1" width="1.85546875" customWidth="1"/>
    <col min="2" max="2" width="28.7109375" customWidth="1"/>
    <col min="3" max="15" width="12.7109375" customWidth="1"/>
  </cols>
  <sheetData>
    <row r="2" spans="2:15" x14ac:dyDescent="0.25">
      <c r="B2" s="2" t="s">
        <v>187</v>
      </c>
      <c r="C2" s="2"/>
      <c r="D2" s="2"/>
      <c r="F2" s="2" t="s">
        <v>194</v>
      </c>
    </row>
    <row r="3" spans="2:15" x14ac:dyDescent="0.25">
      <c r="B3" s="141" t="s">
        <v>188</v>
      </c>
      <c r="C3" s="141" t="s">
        <v>191</v>
      </c>
      <c r="D3" s="141"/>
      <c r="F3" s="142">
        <v>0.04</v>
      </c>
    </row>
    <row r="4" spans="2:15" x14ac:dyDescent="0.25">
      <c r="B4" s="141" t="s">
        <v>189</v>
      </c>
      <c r="C4" s="141" t="s">
        <v>192</v>
      </c>
      <c r="D4" s="141"/>
      <c r="F4" s="142">
        <v>0.05</v>
      </c>
    </row>
    <row r="5" spans="2:15" x14ac:dyDescent="0.25">
      <c r="B5" s="141" t="s">
        <v>190</v>
      </c>
      <c r="C5" s="141" t="s">
        <v>193</v>
      </c>
      <c r="D5" s="141"/>
    </row>
    <row r="7" spans="2:15" x14ac:dyDescent="0.25">
      <c r="B7" s="2" t="s">
        <v>195</v>
      </c>
      <c r="C7" s="135">
        <v>2</v>
      </c>
    </row>
    <row r="9" spans="2:15" x14ac:dyDescent="0.25">
      <c r="B9" t="s">
        <v>180</v>
      </c>
    </row>
    <row r="10" spans="2:15" x14ac:dyDescent="0.25">
      <c r="B10" s="167" t="s">
        <v>185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71" t="s">
        <v>203</v>
      </c>
      <c r="N10" s="171"/>
      <c r="O10" s="171"/>
    </row>
    <row r="11" spans="2:15" x14ac:dyDescent="0.25">
      <c r="B11" s="2" t="s">
        <v>196</v>
      </c>
      <c r="C11" s="2">
        <v>2016</v>
      </c>
      <c r="D11" s="2">
        <f>C11+1</f>
        <v>2017</v>
      </c>
      <c r="E11" s="2">
        <f t="shared" ref="E11:L11" si="0">D11+1</f>
        <v>2018</v>
      </c>
      <c r="F11" s="2">
        <f t="shared" si="0"/>
        <v>2019</v>
      </c>
      <c r="G11" s="2">
        <f t="shared" si="0"/>
        <v>2020</v>
      </c>
      <c r="H11" s="2">
        <f t="shared" si="0"/>
        <v>2021</v>
      </c>
      <c r="I11" s="2">
        <f t="shared" si="0"/>
        <v>2022</v>
      </c>
      <c r="J11" s="2">
        <f t="shared" si="0"/>
        <v>2023</v>
      </c>
      <c r="K11" s="2">
        <f t="shared" si="0"/>
        <v>2024</v>
      </c>
      <c r="L11" s="2">
        <f t="shared" si="0"/>
        <v>2025</v>
      </c>
      <c r="M11" s="147">
        <v>2026</v>
      </c>
      <c r="N11" s="148">
        <f>M11+1</f>
        <v>2027</v>
      </c>
      <c r="O11" s="148">
        <f>N11+1</f>
        <v>2028</v>
      </c>
    </row>
    <row r="12" spans="2:15" s="116" customFormat="1" x14ac:dyDescent="0.25"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47"/>
      <c r="N12" s="148"/>
      <c r="O12" s="148"/>
    </row>
    <row r="13" spans="2:15" x14ac:dyDescent="0.25">
      <c r="B13" t="s">
        <v>30</v>
      </c>
      <c r="C13" s="153">
        <f>'Data Sheet'!B17</f>
        <v>57589</v>
      </c>
      <c r="D13" s="153">
        <f>'Data Sheet'!C17</f>
        <v>68085</v>
      </c>
      <c r="E13" s="153">
        <f>'Data Sheet'!D17</f>
        <v>79809.399999999994</v>
      </c>
      <c r="F13" s="153">
        <f>'Data Sheet'!E17</f>
        <v>86068.5</v>
      </c>
      <c r="G13" s="153">
        <f>'Data Sheet'!F17</f>
        <v>75660</v>
      </c>
      <c r="H13" s="153">
        <f>'Data Sheet'!G17</f>
        <v>70372</v>
      </c>
      <c r="I13" s="153">
        <f>'Data Sheet'!H17</f>
        <v>88329.8</v>
      </c>
      <c r="J13" s="153">
        <f>'Data Sheet'!I17</f>
        <v>118409.9</v>
      </c>
      <c r="K13" s="153">
        <f>'Data Sheet'!J17</f>
        <v>141858.20000000001</v>
      </c>
      <c r="L13" s="153">
        <f>'Data Sheet'!K17</f>
        <v>152913</v>
      </c>
      <c r="M13" s="154">
        <f>L13+(L13*M14)</f>
        <v>171835.85853908747</v>
      </c>
      <c r="N13" s="154">
        <f t="shared" ref="N13:O13" si="1">M13+(M13*N14)</f>
        <v>193100.40532763911</v>
      </c>
      <c r="O13" s="154">
        <f t="shared" si="1"/>
        <v>216996.42236906377</v>
      </c>
    </row>
    <row r="14" spans="2:15" hidden="1" outlineLevel="1" x14ac:dyDescent="0.25">
      <c r="B14" s="143" t="s">
        <v>197</v>
      </c>
      <c r="C14" s="143"/>
      <c r="D14" s="151">
        <f t="shared" ref="D14:L14" si="2">(D13-C13)/C13</f>
        <v>0.18225702825192311</v>
      </c>
      <c r="E14" s="151">
        <f t="shared" si="2"/>
        <v>0.17220239406624063</v>
      </c>
      <c r="F14" s="151">
        <f t="shared" si="2"/>
        <v>7.8425598989592782E-2</v>
      </c>
      <c r="G14" s="151">
        <f t="shared" si="2"/>
        <v>-0.12093274542951254</v>
      </c>
      <c r="H14" s="151">
        <f t="shared" si="2"/>
        <v>-6.9891620407084326E-2</v>
      </c>
      <c r="I14" s="151">
        <f t="shared" si="2"/>
        <v>0.25518387995225378</v>
      </c>
      <c r="J14" s="151">
        <f t="shared" si="2"/>
        <v>0.34054305568449145</v>
      </c>
      <c r="K14" s="151">
        <f t="shared" si="2"/>
        <v>0.19802651636391905</v>
      </c>
      <c r="L14" s="151">
        <f t="shared" si="2"/>
        <v>7.7928522989858792E-2</v>
      </c>
      <c r="M14" s="149">
        <f>CHOOSE($C$7,M15,M16,M17)</f>
        <v>0.12374918116240918</v>
      </c>
      <c r="N14" s="149">
        <f t="shared" ref="N14:O14" si="3">CHOOSE($C$7,N15,N16,N17)</f>
        <v>0.12374918116240918</v>
      </c>
      <c r="O14" s="149">
        <f t="shared" si="3"/>
        <v>0.12374918116240918</v>
      </c>
    </row>
    <row r="15" spans="2:15" hidden="1" outlineLevel="1" x14ac:dyDescent="0.25">
      <c r="B15" s="143" t="s">
        <v>198</v>
      </c>
      <c r="C15" s="143"/>
      <c r="D15" s="146"/>
      <c r="E15" s="146"/>
      <c r="F15" s="146"/>
      <c r="G15" s="146"/>
      <c r="H15" s="146"/>
      <c r="I15" s="146"/>
      <c r="J15" s="146"/>
      <c r="K15" s="146"/>
      <c r="L15" s="146"/>
      <c r="M15" s="150">
        <f>M16+$F$4</f>
        <v>0.17374918116240917</v>
      </c>
      <c r="N15" s="150">
        <f t="shared" ref="N15:O15" si="4">N16+$F$4</f>
        <v>0.17374918116240917</v>
      </c>
      <c r="O15" s="150">
        <f t="shared" si="4"/>
        <v>0.17374918116240917</v>
      </c>
    </row>
    <row r="16" spans="2:15" hidden="1" outlineLevel="1" x14ac:dyDescent="0.25">
      <c r="B16" s="143" t="s">
        <v>199</v>
      </c>
      <c r="C16" s="143"/>
      <c r="D16" s="146"/>
      <c r="E16" s="146"/>
      <c r="F16" s="146"/>
      <c r="G16" s="146"/>
      <c r="H16" s="146"/>
      <c r="I16" s="146"/>
      <c r="J16" s="146"/>
      <c r="K16" s="146"/>
      <c r="L16" s="146"/>
      <c r="M16" s="150">
        <f>AVERAGE(D14:L14)</f>
        <v>0.12374918116240918</v>
      </c>
      <c r="N16" s="150">
        <f>M16</f>
        <v>0.12374918116240918</v>
      </c>
      <c r="O16" s="150">
        <f>N16</f>
        <v>0.12374918116240918</v>
      </c>
    </row>
    <row r="17" spans="2:15" hidden="1" outlineLevel="1" x14ac:dyDescent="0.25">
      <c r="B17" s="143" t="s">
        <v>200</v>
      </c>
      <c r="C17" s="143"/>
      <c r="D17" s="146"/>
      <c r="E17" s="146"/>
      <c r="F17" s="146"/>
      <c r="G17" s="146"/>
      <c r="H17" s="146"/>
      <c r="I17" s="146"/>
      <c r="J17" s="146"/>
      <c r="K17" s="146"/>
      <c r="L17" s="146"/>
      <c r="M17" s="150">
        <f>M16-$F$3</f>
        <v>8.3749181162409175E-2</v>
      </c>
      <c r="N17" s="150">
        <f t="shared" ref="N17:O17" si="5">N16-$F$3</f>
        <v>8.3749181162409175E-2</v>
      </c>
      <c r="O17" s="150">
        <f t="shared" si="5"/>
        <v>8.3749181162409175E-2</v>
      </c>
    </row>
    <row r="18" spans="2:15" hidden="1" outlineLevel="1" x14ac:dyDescent="0.25">
      <c r="M18" s="145"/>
      <c r="N18" s="145"/>
      <c r="O18" s="145"/>
    </row>
    <row r="19" spans="2:15" collapsed="1" x14ac:dyDescent="0.25">
      <c r="B19" t="s">
        <v>2</v>
      </c>
      <c r="C19" s="153">
        <f>SUM('Data Sheet'!B18,'Data Sheet'!B20,'Data Sheet'!B21,'Data Sheet'!B22)-1*'Data Sheet'!B19</f>
        <v>41828.200000000004</v>
      </c>
      <c r="D19" s="153">
        <f>SUM('Data Sheet'!C18,'Data Sheet'!C20,'Data Sheet'!C21,'Data Sheet'!C22)-1*'Data Sheet'!C19</f>
        <v>50004</v>
      </c>
      <c r="E19" s="153">
        <f>SUM('Data Sheet'!D18,'Data Sheet'!D20,'Data Sheet'!D21,'Data Sheet'!D22)-1*'Data Sheet'!D19</f>
        <v>58985.000000000007</v>
      </c>
      <c r="F19" s="153">
        <f>SUM('Data Sheet'!E18,'Data Sheet'!E20,'Data Sheet'!E21,'Data Sheet'!E22)-1*'Data Sheet'!E19</f>
        <v>64182.2</v>
      </c>
      <c r="G19" s="153">
        <f>SUM('Data Sheet'!F18,'Data Sheet'!F20,'Data Sheet'!F21,'Data Sheet'!F22)-1*'Data Sheet'!F19</f>
        <v>57657.1</v>
      </c>
      <c r="H19" s="153">
        <f>SUM('Data Sheet'!G18,'Data Sheet'!G20,'Data Sheet'!G21,'Data Sheet'!G22)-1*'Data Sheet'!G19</f>
        <v>55415.6</v>
      </c>
      <c r="I19" s="153">
        <f>SUM('Data Sheet'!H18,'Data Sheet'!H20,'Data Sheet'!H21,'Data Sheet'!H22)-1*'Data Sheet'!H19</f>
        <v>71578.799999999988</v>
      </c>
      <c r="J19" s="153">
        <f>SUM('Data Sheet'!I18,'Data Sheet'!I20,'Data Sheet'!I21,'Data Sheet'!I22)-1*'Data Sheet'!I19</f>
        <v>92730.599999999991</v>
      </c>
      <c r="K19" s="153">
        <f>SUM('Data Sheet'!J18,'Data Sheet'!J20,'Data Sheet'!J21,'Data Sheet'!J22)-1*'Data Sheet'!J19</f>
        <v>108015.2</v>
      </c>
      <c r="L19" s="153">
        <f>SUM('Data Sheet'!K18,'Data Sheet'!K20,'Data Sheet'!K21,'Data Sheet'!K22)-1*'Data Sheet'!K19</f>
        <v>114516.8</v>
      </c>
      <c r="M19" s="154">
        <f>L19+(L19*M20)</f>
        <v>128956.49771749183</v>
      </c>
      <c r="N19" s="154">
        <f t="shared" ref="N19:O19" si="6">M19+(M19*N20)</f>
        <v>145216.93152062819</v>
      </c>
      <c r="O19" s="154">
        <f t="shared" si="6"/>
        <v>163527.68238530116</v>
      </c>
    </row>
    <row r="20" spans="2:15" hidden="1" outlineLevel="1" x14ac:dyDescent="0.25">
      <c r="B20" s="143" t="s">
        <v>197</v>
      </c>
      <c r="C20" s="143"/>
      <c r="D20" s="152">
        <f>(D19-C19)/C19</f>
        <v>0.19546143510837174</v>
      </c>
      <c r="E20" s="152">
        <f t="shared" ref="E20:L20" si="7">(E19-D19)/D19</f>
        <v>0.17960563154947617</v>
      </c>
      <c r="F20" s="152">
        <f t="shared" si="7"/>
        <v>8.8110536577095694E-2</v>
      </c>
      <c r="G20" s="152">
        <f t="shared" si="7"/>
        <v>-0.10166525921517179</v>
      </c>
      <c r="H20" s="152">
        <f t="shared" si="7"/>
        <v>-3.8876391632600323E-2</v>
      </c>
      <c r="I20" s="152">
        <f t="shared" si="7"/>
        <v>0.29167238106237214</v>
      </c>
      <c r="J20" s="152">
        <f t="shared" si="7"/>
        <v>0.29550369662525783</v>
      </c>
      <c r="K20" s="152">
        <f t="shared" si="7"/>
        <v>0.16482800715190032</v>
      </c>
      <c r="L20" s="152">
        <f t="shared" si="7"/>
        <v>6.019152859967862E-2</v>
      </c>
      <c r="M20" s="149">
        <f>CHOOSE($C$7,M21,M22,M23)</f>
        <v>0.12609239620293114</v>
      </c>
      <c r="N20" s="149">
        <f t="shared" ref="N20:O20" si="8">CHOOSE($C$7,N21,N22,N23)</f>
        <v>0.12609239620293114</v>
      </c>
      <c r="O20" s="149">
        <f t="shared" si="8"/>
        <v>0.12609239620293114</v>
      </c>
    </row>
    <row r="21" spans="2:15" hidden="1" outlineLevel="1" x14ac:dyDescent="0.25">
      <c r="B21" s="143" t="s">
        <v>198</v>
      </c>
      <c r="C21" s="143"/>
      <c r="D21" s="146"/>
      <c r="E21" s="146"/>
      <c r="F21" s="146"/>
      <c r="G21" s="146"/>
      <c r="H21" s="146"/>
      <c r="I21" s="146"/>
      <c r="J21" s="146"/>
      <c r="K21" s="146"/>
      <c r="L21" s="146"/>
      <c r="M21" s="150">
        <f>M22-$F$4</f>
        <v>7.6092396202931137E-2</v>
      </c>
      <c r="N21" s="150">
        <f t="shared" ref="N21:O21" si="9">N22-$F$4</f>
        <v>7.6092396202931137E-2</v>
      </c>
      <c r="O21" s="150">
        <f t="shared" si="9"/>
        <v>7.6092396202931137E-2</v>
      </c>
    </row>
    <row r="22" spans="2:15" hidden="1" outlineLevel="1" x14ac:dyDescent="0.25">
      <c r="B22" s="143" t="s">
        <v>199</v>
      </c>
      <c r="C22" s="143"/>
      <c r="D22" s="146"/>
      <c r="E22" s="146"/>
      <c r="F22" s="146"/>
      <c r="G22" s="146"/>
      <c r="H22" s="146"/>
      <c r="I22" s="146"/>
      <c r="J22" s="146"/>
      <c r="K22" s="146"/>
      <c r="L22" s="146"/>
      <c r="M22" s="149">
        <f>AVERAGE(D20:L20)</f>
        <v>0.12609239620293114</v>
      </c>
      <c r="N22" s="150">
        <f>M22</f>
        <v>0.12609239620293114</v>
      </c>
      <c r="O22" s="150">
        <f>N22</f>
        <v>0.12609239620293114</v>
      </c>
    </row>
    <row r="23" spans="2:15" hidden="1" outlineLevel="1" x14ac:dyDescent="0.25">
      <c r="B23" s="143" t="s">
        <v>200</v>
      </c>
      <c r="C23" s="143"/>
      <c r="D23" s="146"/>
      <c r="E23" s="146"/>
      <c r="F23" s="146"/>
      <c r="G23" s="146"/>
      <c r="H23" s="146"/>
      <c r="I23" s="146"/>
      <c r="J23" s="146"/>
      <c r="K23" s="146"/>
      <c r="L23" s="146"/>
      <c r="M23" s="150">
        <f>M22+$F$3</f>
        <v>0.16609239620293115</v>
      </c>
      <c r="N23" s="150">
        <f t="shared" ref="N23:O23" si="10">N22+$F$3</f>
        <v>0.16609239620293115</v>
      </c>
      <c r="O23" s="150">
        <f t="shared" si="10"/>
        <v>0.16609239620293115</v>
      </c>
    </row>
    <row r="24" spans="2:15" hidden="1" outlineLevel="1" x14ac:dyDescent="0.25">
      <c r="M24" s="145"/>
      <c r="N24" s="145"/>
      <c r="O24" s="145"/>
    </row>
    <row r="25" spans="2:15" collapsed="1" x14ac:dyDescent="0.25">
      <c r="B25" s="144" t="s">
        <v>201</v>
      </c>
      <c r="C25" s="157">
        <f>C13-C19</f>
        <v>15760.799999999996</v>
      </c>
      <c r="D25" s="157">
        <f t="shared" ref="D25:L25" si="11">D13-D19</f>
        <v>18081</v>
      </c>
      <c r="E25" s="157">
        <f t="shared" si="11"/>
        <v>20824.399999999987</v>
      </c>
      <c r="F25" s="157">
        <f t="shared" si="11"/>
        <v>21886.300000000003</v>
      </c>
      <c r="G25" s="157">
        <f t="shared" si="11"/>
        <v>18002.900000000001</v>
      </c>
      <c r="H25" s="157">
        <f t="shared" si="11"/>
        <v>14956.400000000001</v>
      </c>
      <c r="I25" s="157">
        <f t="shared" si="11"/>
        <v>16751.000000000015</v>
      </c>
      <c r="J25" s="157">
        <f t="shared" si="11"/>
        <v>25679.300000000003</v>
      </c>
      <c r="K25" s="157">
        <f t="shared" si="11"/>
        <v>33843.000000000015</v>
      </c>
      <c r="L25" s="157">
        <f t="shared" si="11"/>
        <v>38396.199999999997</v>
      </c>
      <c r="M25" s="164">
        <f>M13-M19</f>
        <v>42879.360821595634</v>
      </c>
      <c r="N25" s="159">
        <f t="shared" ref="N25:O25" si="12">N13-N19</f>
        <v>47883.473807010916</v>
      </c>
      <c r="O25" s="159">
        <f t="shared" si="12"/>
        <v>53468.739983762614</v>
      </c>
    </row>
    <row r="26" spans="2:15" x14ac:dyDescent="0.25">
      <c r="B26" t="s">
        <v>12</v>
      </c>
      <c r="C26" s="156">
        <f>SUM('Data Sheet'!B23:B24)</f>
        <v>6736.7000000000007</v>
      </c>
      <c r="D26" s="156">
        <f>SUM('Data Sheet'!C23:C24)</f>
        <v>7659.7000000000007</v>
      </c>
      <c r="E26" s="156">
        <f>SUM('Data Sheet'!D23:D24)</f>
        <v>8706.5</v>
      </c>
      <c r="F26" s="156">
        <f>SUM('Data Sheet'!E23:E24)</f>
        <v>10830</v>
      </c>
      <c r="G26" s="156">
        <f>SUM('Data Sheet'!F23:F24)</f>
        <v>10647.9</v>
      </c>
      <c r="H26" s="156">
        <f>SUM('Data Sheet'!G23:G24)</f>
        <v>9545.7999999999993</v>
      </c>
      <c r="I26" s="156">
        <f>SUM('Data Sheet'!H23:H24)</f>
        <v>10999</v>
      </c>
      <c r="J26" s="156">
        <f>SUM('Data Sheet'!I23:I24)</f>
        <v>12557.8</v>
      </c>
      <c r="K26" s="156">
        <f>SUM('Data Sheet'!J23:J24)</f>
        <v>15216.7</v>
      </c>
      <c r="L26" s="156">
        <f>SUM('Data Sheet'!K23:K24)</f>
        <v>18239.900000000001</v>
      </c>
      <c r="M26" s="158">
        <f>L26+(L26*M27)</f>
        <v>20472.503765919824</v>
      </c>
      <c r="N26" s="158">
        <f t="shared" ref="N26:O26" si="13">M26+(M26*N27)</f>
        <v>22978.383129600563</v>
      </c>
      <c r="O26" s="158">
        <f t="shared" si="13"/>
        <v>25790.987623588728</v>
      </c>
    </row>
    <row r="27" spans="2:15" hidden="1" outlineLevel="1" x14ac:dyDescent="0.25">
      <c r="B27" s="143" t="s">
        <v>197</v>
      </c>
      <c r="C27" s="143"/>
      <c r="D27" s="152">
        <f>(D26-C26)/C26</f>
        <v>0.13701070256950731</v>
      </c>
      <c r="E27" s="152">
        <f t="shared" ref="E27:L27" si="14">(E26-D26)/D26</f>
        <v>0.13666331579565769</v>
      </c>
      <c r="F27" s="152">
        <f t="shared" si="14"/>
        <v>0.24389823694940563</v>
      </c>
      <c r="G27" s="152">
        <f t="shared" si="14"/>
        <v>-1.6814404432132998E-2</v>
      </c>
      <c r="H27" s="152">
        <f t="shared" si="14"/>
        <v>-0.10350397731007996</v>
      </c>
      <c r="I27" s="152">
        <f t="shared" si="14"/>
        <v>0.15223449056129407</v>
      </c>
      <c r="J27" s="152">
        <f t="shared" si="14"/>
        <v>0.14172197472497494</v>
      </c>
      <c r="K27" s="152">
        <f t="shared" si="14"/>
        <v>0.21173294685374838</v>
      </c>
      <c r="L27" s="152">
        <f t="shared" si="14"/>
        <v>0.19867645415891755</v>
      </c>
      <c r="M27" s="149">
        <f>CHOOSE($C$7,M28,M29,M30)</f>
        <v>0.12240219331903252</v>
      </c>
      <c r="N27" s="149">
        <f t="shared" ref="N27:O27" si="15">CHOOSE($C$7,N28,N29,N30)</f>
        <v>0.12240219331903252</v>
      </c>
      <c r="O27" s="149">
        <f t="shared" si="15"/>
        <v>0.12240219331903252</v>
      </c>
    </row>
    <row r="28" spans="2:15" hidden="1" outlineLevel="1" x14ac:dyDescent="0.25">
      <c r="B28" s="143" t="s">
        <v>198</v>
      </c>
      <c r="C28" s="143"/>
      <c r="D28" s="155"/>
      <c r="E28" s="155"/>
      <c r="F28" s="155"/>
      <c r="G28" s="155"/>
      <c r="H28" s="155"/>
      <c r="I28" s="155"/>
      <c r="J28" s="155"/>
      <c r="K28" s="155"/>
      <c r="L28" s="155"/>
      <c r="M28" s="150">
        <f>M29-$F$4</f>
        <v>7.2402193319032512E-2</v>
      </c>
      <c r="N28" s="150">
        <f t="shared" ref="N28:O28" si="16">N29-$F$4</f>
        <v>7.2402193319032512E-2</v>
      </c>
      <c r="O28" s="150">
        <f t="shared" si="16"/>
        <v>7.2402193319032512E-2</v>
      </c>
    </row>
    <row r="29" spans="2:15" hidden="1" outlineLevel="1" x14ac:dyDescent="0.25">
      <c r="B29" s="143" t="s">
        <v>199</v>
      </c>
      <c r="C29" s="143"/>
      <c r="D29" s="155"/>
      <c r="E29" s="155"/>
      <c r="F29" s="155"/>
      <c r="G29" s="155"/>
      <c r="H29" s="155"/>
      <c r="I29" s="155"/>
      <c r="J29" s="155"/>
      <c r="K29" s="155"/>
      <c r="L29" s="155"/>
      <c r="M29" s="150">
        <f>AVERAGE(D27:L27)</f>
        <v>0.12240219331903252</v>
      </c>
      <c r="N29" s="150">
        <f>M29</f>
        <v>0.12240219331903252</v>
      </c>
      <c r="O29" s="150">
        <f>N29</f>
        <v>0.12240219331903252</v>
      </c>
    </row>
    <row r="30" spans="2:15" hidden="1" outlineLevel="1" x14ac:dyDescent="0.25">
      <c r="B30" s="143" t="s">
        <v>200</v>
      </c>
      <c r="C30" s="143"/>
      <c r="D30" s="155"/>
      <c r="E30" s="155"/>
      <c r="F30" s="155"/>
      <c r="G30" s="155"/>
      <c r="H30" s="155"/>
      <c r="I30" s="155"/>
      <c r="J30" s="155"/>
      <c r="K30" s="155"/>
      <c r="L30" s="155"/>
      <c r="M30" s="150">
        <f>M29+$F$3</f>
        <v>0.16240219331903252</v>
      </c>
      <c r="N30" s="150">
        <f t="shared" ref="N30:O30" si="17">N29+$F$3</f>
        <v>0.16240219331903252</v>
      </c>
      <c r="O30" s="150">
        <f t="shared" si="17"/>
        <v>0.16240219331903252</v>
      </c>
    </row>
    <row r="31" spans="2:15" hidden="1" outlineLevel="1" x14ac:dyDescent="0.25">
      <c r="M31" s="145"/>
      <c r="N31" s="145"/>
      <c r="O31" s="145"/>
    </row>
    <row r="32" spans="2:15" collapsed="1" x14ac:dyDescent="0.25">
      <c r="B32" s="144" t="s">
        <v>3</v>
      </c>
      <c r="C32" s="157">
        <f>C25-C26</f>
        <v>9024.0999999999949</v>
      </c>
      <c r="D32" s="157">
        <f t="shared" ref="D32:L32" si="18">D25-D26</f>
        <v>10421.299999999999</v>
      </c>
      <c r="E32" s="157">
        <f t="shared" si="18"/>
        <v>12117.899999999987</v>
      </c>
      <c r="F32" s="157">
        <f t="shared" si="18"/>
        <v>11056.300000000003</v>
      </c>
      <c r="G32" s="157">
        <f t="shared" si="18"/>
        <v>7355.0000000000018</v>
      </c>
      <c r="H32" s="157">
        <f t="shared" si="18"/>
        <v>5410.6000000000022</v>
      </c>
      <c r="I32" s="157">
        <f t="shared" si="18"/>
        <v>5752.0000000000146</v>
      </c>
      <c r="J32" s="157">
        <f t="shared" si="18"/>
        <v>13121.500000000004</v>
      </c>
      <c r="K32" s="157">
        <f t="shared" si="18"/>
        <v>18626.300000000014</v>
      </c>
      <c r="L32" s="157">
        <f t="shared" si="18"/>
        <v>20156.299999999996</v>
      </c>
      <c r="M32" s="165">
        <f>M25-M26</f>
        <v>22406.85705567581</v>
      </c>
      <c r="N32" s="165">
        <f t="shared" ref="N32:O32" si="19">N25-N26</f>
        <v>24905.090677410353</v>
      </c>
      <c r="O32" s="165">
        <f t="shared" si="19"/>
        <v>27677.752360173887</v>
      </c>
    </row>
    <row r="33" spans="2:15" x14ac:dyDescent="0.25">
      <c r="B33" t="s">
        <v>4</v>
      </c>
      <c r="C33" s="156">
        <f>'Data Sheet'!B26</f>
        <v>2821.8</v>
      </c>
      <c r="D33" s="156">
        <f>'Data Sheet'!C26</f>
        <v>2603.9</v>
      </c>
      <c r="E33" s="156">
        <f>'Data Sheet'!D26</f>
        <v>2759.8</v>
      </c>
      <c r="F33" s="156">
        <f>'Data Sheet'!E26</f>
        <v>3020.8</v>
      </c>
      <c r="G33" s="156">
        <f>'Data Sheet'!F26</f>
        <v>3528.4</v>
      </c>
      <c r="H33" s="156">
        <f>'Data Sheet'!G26</f>
        <v>3034.1</v>
      </c>
      <c r="I33" s="156">
        <f>'Data Sheet'!H26</f>
        <v>2789</v>
      </c>
      <c r="J33" s="156">
        <f>'Data Sheet'!I26</f>
        <v>4846</v>
      </c>
      <c r="K33" s="156">
        <f>'Data Sheet'!J26</f>
        <v>5255.8</v>
      </c>
      <c r="L33" s="156">
        <f>'Data Sheet'!K26</f>
        <v>5608.2</v>
      </c>
      <c r="M33" s="158">
        <f>L33+(L33*M34)</f>
        <v>6177.4569761127059</v>
      </c>
      <c r="N33" s="158">
        <f t="shared" ref="N33:O33" si="20">M33+(M33*N34)</f>
        <v>6804.4960400348664</v>
      </c>
      <c r="O33" s="158">
        <f t="shared" si="20"/>
        <v>7495.1823279206637</v>
      </c>
    </row>
    <row r="34" spans="2:15" hidden="1" outlineLevel="1" x14ac:dyDescent="0.25">
      <c r="B34" s="143" t="s">
        <v>197</v>
      </c>
      <c r="C34" s="143"/>
      <c r="D34" s="152">
        <f>(D33-C33)/C33</f>
        <v>-7.7220214047770949E-2</v>
      </c>
      <c r="E34" s="152">
        <f t="shared" ref="E34:L34" si="21">(E33-D33)/D33</f>
        <v>5.9871730865240634E-2</v>
      </c>
      <c r="F34" s="152">
        <f t="shared" si="21"/>
        <v>9.4572070439886941E-2</v>
      </c>
      <c r="G34" s="152">
        <f t="shared" si="21"/>
        <v>0.16803495762711859</v>
      </c>
      <c r="H34" s="152">
        <f t="shared" si="21"/>
        <v>-0.14009182632354614</v>
      </c>
      <c r="I34" s="152">
        <f t="shared" si="21"/>
        <v>-8.0781780429122277E-2</v>
      </c>
      <c r="J34" s="152">
        <f t="shared" si="21"/>
        <v>0.73754033703836497</v>
      </c>
      <c r="K34" s="152">
        <f t="shared" si="21"/>
        <v>8.456458935204296E-2</v>
      </c>
      <c r="L34" s="152">
        <f t="shared" si="21"/>
        <v>6.7049735530271243E-2</v>
      </c>
      <c r="M34" s="149">
        <f>CHOOSE($C$7,M35,M36,M37)</f>
        <v>0.10150440000583177</v>
      </c>
      <c r="N34" s="149">
        <f t="shared" ref="N34:O34" si="22">CHOOSE($C$7,N35,N36,N37)</f>
        <v>0.10150440000583177</v>
      </c>
      <c r="O34" s="149">
        <f t="shared" si="22"/>
        <v>0.10150440000583177</v>
      </c>
    </row>
    <row r="35" spans="2:15" hidden="1" outlineLevel="1" x14ac:dyDescent="0.25">
      <c r="B35" s="143" t="s">
        <v>198</v>
      </c>
      <c r="C35" s="143"/>
      <c r="D35" s="146"/>
      <c r="E35" s="146"/>
      <c r="F35" s="146"/>
      <c r="G35" s="146"/>
      <c r="H35" s="146"/>
      <c r="I35" s="146"/>
      <c r="J35" s="146"/>
      <c r="K35" s="146"/>
      <c r="L35" s="146"/>
      <c r="M35" s="150">
        <f>M36+$F$4</f>
        <v>0.15150440000583176</v>
      </c>
      <c r="N35" s="150">
        <f t="shared" ref="N35:O35" si="23">N36+$F$4</f>
        <v>0.15150440000583176</v>
      </c>
      <c r="O35" s="150">
        <f t="shared" si="23"/>
        <v>0.15150440000583176</v>
      </c>
    </row>
    <row r="36" spans="2:15" hidden="1" outlineLevel="1" x14ac:dyDescent="0.25">
      <c r="B36" s="143" t="s">
        <v>199</v>
      </c>
      <c r="C36" s="143"/>
      <c r="D36" s="146"/>
      <c r="E36" s="146"/>
      <c r="F36" s="146"/>
      <c r="G36" s="146"/>
      <c r="H36" s="146"/>
      <c r="I36" s="146"/>
      <c r="J36" s="146"/>
      <c r="K36" s="146"/>
      <c r="L36" s="146"/>
      <c r="M36" s="150">
        <f>AVERAGE(D34:L34)</f>
        <v>0.10150440000583177</v>
      </c>
      <c r="N36" s="150">
        <f>M36</f>
        <v>0.10150440000583177</v>
      </c>
      <c r="O36" s="150">
        <f>N36</f>
        <v>0.10150440000583177</v>
      </c>
    </row>
    <row r="37" spans="2:15" hidden="1" outlineLevel="1" x14ac:dyDescent="0.25">
      <c r="B37" s="143" t="s">
        <v>200</v>
      </c>
      <c r="C37" s="143"/>
      <c r="D37" s="146"/>
      <c r="E37" s="146"/>
      <c r="F37" s="146"/>
      <c r="G37" s="146"/>
      <c r="H37" s="146"/>
      <c r="I37" s="146"/>
      <c r="J37" s="146"/>
      <c r="K37" s="146"/>
      <c r="L37" s="146"/>
      <c r="M37" s="150">
        <f>M36-$F$3</f>
        <v>6.1504400005831773E-2</v>
      </c>
      <c r="N37" s="150">
        <f t="shared" ref="N37:O37" si="24">N36-$F$3</f>
        <v>6.1504400005831773E-2</v>
      </c>
      <c r="O37" s="150">
        <f t="shared" si="24"/>
        <v>6.1504400005831773E-2</v>
      </c>
    </row>
    <row r="38" spans="2:15" hidden="1" outlineLevel="1" x14ac:dyDescent="0.25">
      <c r="M38" s="145"/>
      <c r="N38" s="145"/>
      <c r="O38" s="145"/>
    </row>
    <row r="39" spans="2:15" collapsed="1" x14ac:dyDescent="0.25">
      <c r="B39" s="144" t="s">
        <v>123</v>
      </c>
      <c r="C39" s="157">
        <f>C32-C33</f>
        <v>6202.2999999999947</v>
      </c>
      <c r="D39" s="157">
        <f t="shared" ref="D39:L39" si="25">D32-D33</f>
        <v>7817.4</v>
      </c>
      <c r="E39" s="157">
        <f t="shared" si="25"/>
        <v>9358.0999999999876</v>
      </c>
      <c r="F39" s="157">
        <f t="shared" si="25"/>
        <v>8035.5000000000027</v>
      </c>
      <c r="G39" s="157">
        <f t="shared" si="25"/>
        <v>3826.6000000000017</v>
      </c>
      <c r="H39" s="157">
        <f t="shared" si="25"/>
        <v>2376.5000000000023</v>
      </c>
      <c r="I39" s="157">
        <f t="shared" si="25"/>
        <v>2963.0000000000146</v>
      </c>
      <c r="J39" s="157">
        <f t="shared" si="25"/>
        <v>8275.5000000000036</v>
      </c>
      <c r="K39" s="157">
        <f t="shared" si="25"/>
        <v>13370.500000000015</v>
      </c>
      <c r="L39" s="157">
        <f t="shared" si="25"/>
        <v>14548.099999999995</v>
      </c>
      <c r="M39" s="165">
        <f>M32-M33</f>
        <v>16229.400079563104</v>
      </c>
      <c r="N39" s="165">
        <f t="shared" ref="N39:O39" si="26">N32-N33</f>
        <v>18100.594637375485</v>
      </c>
      <c r="O39" s="165">
        <f t="shared" si="26"/>
        <v>20182.570032253221</v>
      </c>
    </row>
    <row r="40" spans="2:15" x14ac:dyDescent="0.25">
      <c r="B40" t="s">
        <v>5</v>
      </c>
      <c r="C40" s="156">
        <f>'Data Sheet'!B27</f>
        <v>81.7</v>
      </c>
      <c r="D40" s="156">
        <f>'Data Sheet'!C27</f>
        <v>89.4</v>
      </c>
      <c r="E40" s="156">
        <f>'Data Sheet'!D27</f>
        <v>345.8</v>
      </c>
      <c r="F40" s="156">
        <f>'Data Sheet'!E27</f>
        <v>75.900000000000006</v>
      </c>
      <c r="G40" s="156">
        <f>'Data Sheet'!F27</f>
        <v>134.19999999999999</v>
      </c>
      <c r="H40" s="156">
        <f>'Data Sheet'!G27</f>
        <v>101.8</v>
      </c>
      <c r="I40" s="156">
        <f>'Data Sheet'!H27</f>
        <v>126.6</v>
      </c>
      <c r="J40" s="156">
        <f>'Data Sheet'!I27</f>
        <v>252.3</v>
      </c>
      <c r="K40" s="156">
        <f>'Data Sheet'!J27</f>
        <v>193.6</v>
      </c>
      <c r="L40" s="156">
        <f>'Data Sheet'!K27</f>
        <v>194.2</v>
      </c>
      <c r="M40" s="158">
        <f>L40+(L40*M41)</f>
        <v>274.36960168985274</v>
      </c>
      <c r="N40" s="158">
        <f t="shared" ref="N40:O40" si="27">M40+(M40*N41)</f>
        <v>387.63480088284479</v>
      </c>
      <c r="O40" s="158">
        <f t="shared" si="27"/>
        <v>547.65811492971943</v>
      </c>
    </row>
    <row r="41" spans="2:15" hidden="1" outlineLevel="1" x14ac:dyDescent="0.25">
      <c r="B41" s="143" t="s">
        <v>197</v>
      </c>
      <c r="C41" s="143"/>
      <c r="D41" s="152">
        <f>(D40-C40)/C40</f>
        <v>9.4247246022031855E-2</v>
      </c>
      <c r="E41" s="152">
        <f t="shared" ref="E41:L41" si="28">(E40-D40)/D40</f>
        <v>2.8680089485458611</v>
      </c>
      <c r="F41" s="152">
        <f t="shared" si="28"/>
        <v>-0.78050896471949094</v>
      </c>
      <c r="G41" s="152">
        <f t="shared" si="28"/>
        <v>0.76811594202898525</v>
      </c>
      <c r="H41" s="152">
        <f t="shared" si="28"/>
        <v>-0.24143070044709386</v>
      </c>
      <c r="I41" s="152">
        <f t="shared" si="28"/>
        <v>0.24361493123772099</v>
      </c>
      <c r="J41" s="152">
        <f t="shared" si="28"/>
        <v>0.99289099526066371</v>
      </c>
      <c r="K41" s="152">
        <f t="shared" si="28"/>
        <v>-0.23265953230281416</v>
      </c>
      <c r="L41" s="152">
        <f t="shared" si="28"/>
        <v>3.0991735537189789E-3</v>
      </c>
      <c r="M41" s="149">
        <f>CHOOSE($C$7,M42,M43,M44)</f>
        <v>0.41281978213106485</v>
      </c>
      <c r="N41" s="149">
        <f t="shared" ref="N41:O41" si="29">CHOOSE($C$7,N42,N43,N44)</f>
        <v>0.41281978213106485</v>
      </c>
      <c r="O41" s="149">
        <f t="shared" si="29"/>
        <v>0.41281978213106485</v>
      </c>
    </row>
    <row r="42" spans="2:15" hidden="1" outlineLevel="1" x14ac:dyDescent="0.25">
      <c r="B42" s="143" t="s">
        <v>198</v>
      </c>
      <c r="C42" s="143"/>
      <c r="D42" s="146"/>
      <c r="E42" s="146"/>
      <c r="F42" s="146"/>
      <c r="G42" s="146"/>
      <c r="H42" s="146"/>
      <c r="I42" s="146"/>
      <c r="J42" s="146"/>
      <c r="K42" s="146"/>
      <c r="L42" s="146"/>
      <c r="M42" s="150">
        <f>M43-$F$4</f>
        <v>0.36281978213106486</v>
      </c>
      <c r="N42" s="150">
        <f t="shared" ref="N42:O42" si="30">N43-$F$4</f>
        <v>0.36281978213106486</v>
      </c>
      <c r="O42" s="150">
        <f t="shared" si="30"/>
        <v>0.36281978213106486</v>
      </c>
    </row>
    <row r="43" spans="2:15" hidden="1" outlineLevel="1" x14ac:dyDescent="0.25">
      <c r="B43" s="143" t="s">
        <v>199</v>
      </c>
      <c r="C43" s="143"/>
      <c r="D43" s="146"/>
      <c r="E43" s="146"/>
      <c r="F43" s="146"/>
      <c r="G43" s="146"/>
      <c r="H43" s="146"/>
      <c r="I43" s="146"/>
      <c r="J43" s="146"/>
      <c r="K43" s="146"/>
      <c r="L43" s="146"/>
      <c r="M43" s="150">
        <f>AVERAGE(D41:L41)</f>
        <v>0.41281978213106485</v>
      </c>
      <c r="N43" s="150">
        <f>M43</f>
        <v>0.41281978213106485</v>
      </c>
      <c r="O43" s="150">
        <f>N43</f>
        <v>0.41281978213106485</v>
      </c>
    </row>
    <row r="44" spans="2:15" hidden="1" outlineLevel="1" x14ac:dyDescent="0.25">
      <c r="B44" s="143" t="s">
        <v>200</v>
      </c>
      <c r="C44" s="143"/>
      <c r="D44" s="146"/>
      <c r="E44" s="146"/>
      <c r="F44" s="146"/>
      <c r="G44" s="146"/>
      <c r="H44" s="146"/>
      <c r="I44" s="146"/>
      <c r="J44" s="146"/>
      <c r="K44" s="146"/>
      <c r="L44" s="146"/>
      <c r="M44" s="150">
        <f>M43+$F$3</f>
        <v>0.45281978213106483</v>
      </c>
      <c r="N44" s="150">
        <f t="shared" ref="N44:O44" si="31">N43+$F$3</f>
        <v>0.45281978213106483</v>
      </c>
      <c r="O44" s="150">
        <f t="shared" si="31"/>
        <v>0.45281978213106483</v>
      </c>
    </row>
    <row r="45" spans="2:15" hidden="1" outlineLevel="1" x14ac:dyDescent="0.25">
      <c r="M45" s="145"/>
      <c r="N45" s="145"/>
      <c r="O45" s="145"/>
    </row>
    <row r="46" spans="2:15" collapsed="1" x14ac:dyDescent="0.25">
      <c r="B46" t="s">
        <v>7</v>
      </c>
      <c r="C46" s="156">
        <f>'Data Sheet'!B25</f>
        <v>1464.1</v>
      </c>
      <c r="D46" s="156">
        <f>'Data Sheet'!C25</f>
        <v>2399.1999999999998</v>
      </c>
      <c r="E46" s="156">
        <f>'Data Sheet'!D25</f>
        <v>2154.6</v>
      </c>
      <c r="F46" s="156">
        <f>'Data Sheet'!E25</f>
        <v>2664.2</v>
      </c>
      <c r="G46" s="156">
        <f>'Data Sheet'!F25</f>
        <v>3410.4</v>
      </c>
      <c r="H46" s="156">
        <f>'Data Sheet'!G25</f>
        <v>3046.3</v>
      </c>
      <c r="I46" s="156">
        <f>'Data Sheet'!H25</f>
        <v>1860.8</v>
      </c>
      <c r="J46" s="156">
        <f>'Data Sheet'!I25</f>
        <v>2415</v>
      </c>
      <c r="K46" s="156">
        <f>'Data Sheet'!J25</f>
        <v>4247.6000000000004</v>
      </c>
      <c r="L46" s="156">
        <f>'Data Sheet'!K25</f>
        <v>5266.1</v>
      </c>
      <c r="M46" s="162">
        <f>L46+(L46*M47)</f>
        <v>6350.838295009763</v>
      </c>
      <c r="N46" s="162">
        <f t="shared" ref="N46:O46" si="32">M46+(M46*N47)</f>
        <v>7659.0165491279149</v>
      </c>
      <c r="O46" s="162">
        <f t="shared" si="32"/>
        <v>9236.660071459919</v>
      </c>
    </row>
    <row r="47" spans="2:15" hidden="1" outlineLevel="1" x14ac:dyDescent="0.25">
      <c r="B47" s="143" t="s">
        <v>197</v>
      </c>
      <c r="C47" s="143"/>
      <c r="D47" s="152">
        <f>(D46-C46)/C46</f>
        <v>0.6386858821118776</v>
      </c>
      <c r="E47" s="152">
        <f t="shared" ref="E47:L47" si="33">(E46-D46)/D46</f>
        <v>-0.10195065021673888</v>
      </c>
      <c r="F47" s="152">
        <f t="shared" si="33"/>
        <v>0.23651721897335928</v>
      </c>
      <c r="G47" s="152">
        <f t="shared" si="33"/>
        <v>0.28008407777193917</v>
      </c>
      <c r="H47" s="152">
        <f t="shared" si="33"/>
        <v>-0.10676167018531547</v>
      </c>
      <c r="I47" s="152">
        <f t="shared" si="33"/>
        <v>-0.38916062108131183</v>
      </c>
      <c r="J47" s="152">
        <f t="shared" si="33"/>
        <v>0.29782889079965608</v>
      </c>
      <c r="K47" s="152">
        <f t="shared" si="33"/>
        <v>0.75884057971014507</v>
      </c>
      <c r="L47" s="152">
        <f t="shared" si="33"/>
        <v>0.23978246539222148</v>
      </c>
      <c r="M47" s="149">
        <f>CHOOSE($C$7,M48,M49,M50)</f>
        <v>0.20598513036398142</v>
      </c>
      <c r="N47" s="149">
        <f t="shared" ref="N47:O47" si="34">CHOOSE($C$7,N48,N49,N50)</f>
        <v>0.20598513036398142</v>
      </c>
      <c r="O47" s="149">
        <f t="shared" si="34"/>
        <v>0.20598513036398142</v>
      </c>
    </row>
    <row r="48" spans="2:15" hidden="1" outlineLevel="1" x14ac:dyDescent="0.25">
      <c r="B48" s="143" t="s">
        <v>198</v>
      </c>
      <c r="C48" s="143"/>
      <c r="D48" s="146"/>
      <c r="E48" s="146"/>
      <c r="F48" s="146"/>
      <c r="G48" s="146"/>
      <c r="H48" s="146"/>
      <c r="I48" s="146"/>
      <c r="J48" s="146"/>
      <c r="K48" s="146"/>
      <c r="L48" s="146"/>
      <c r="M48" s="150">
        <f>M49+$F$4</f>
        <v>0.25598513036398141</v>
      </c>
      <c r="N48" s="150">
        <f t="shared" ref="N48:O48" si="35">N49+$F$4</f>
        <v>0.25598513036398141</v>
      </c>
      <c r="O48" s="150">
        <f t="shared" si="35"/>
        <v>0.25598513036398141</v>
      </c>
    </row>
    <row r="49" spans="2:15" hidden="1" outlineLevel="1" x14ac:dyDescent="0.25">
      <c r="B49" s="143" t="s">
        <v>199</v>
      </c>
      <c r="C49" s="143"/>
      <c r="D49" s="146"/>
      <c r="E49" s="146"/>
      <c r="F49" s="146"/>
      <c r="G49" s="146"/>
      <c r="H49" s="146"/>
      <c r="I49" s="146"/>
      <c r="J49" s="146"/>
      <c r="K49" s="146"/>
      <c r="L49" s="146"/>
      <c r="M49" s="150">
        <f>AVERAGE(D47:L47)</f>
        <v>0.20598513036398142</v>
      </c>
      <c r="N49" s="150">
        <f>M49</f>
        <v>0.20598513036398142</v>
      </c>
      <c r="O49" s="150">
        <f>N49</f>
        <v>0.20598513036398142</v>
      </c>
    </row>
    <row r="50" spans="2:15" hidden="1" outlineLevel="1" x14ac:dyDescent="0.25">
      <c r="B50" s="143" t="s">
        <v>200</v>
      </c>
      <c r="C50" s="143"/>
      <c r="D50" s="146"/>
      <c r="E50" s="146"/>
      <c r="F50" s="146"/>
      <c r="G50" s="146"/>
      <c r="H50" s="146"/>
      <c r="I50" s="146"/>
      <c r="J50" s="146"/>
      <c r="K50" s="146"/>
      <c r="L50" s="146"/>
      <c r="M50" s="150">
        <f>M49-$F$3</f>
        <v>0.16598513036398141</v>
      </c>
      <c r="N50" s="150">
        <f t="shared" ref="N50:O50" si="36">N49-$F$3</f>
        <v>0.16598513036398141</v>
      </c>
      <c r="O50" s="150">
        <f t="shared" si="36"/>
        <v>0.16598513036398141</v>
      </c>
    </row>
    <row r="51" spans="2:15" hidden="1" outlineLevel="1" x14ac:dyDescent="0.25">
      <c r="M51" s="145"/>
      <c r="N51" s="145"/>
      <c r="O51" s="145"/>
    </row>
    <row r="52" spans="2:15" collapsed="1" x14ac:dyDescent="0.25">
      <c r="B52" s="144" t="s">
        <v>8</v>
      </c>
      <c r="C52" s="157">
        <f>C39-C40+C46</f>
        <v>7584.6999999999953</v>
      </c>
      <c r="D52" s="157">
        <f t="shared" ref="D52:L52" si="37">D39-D40+D46</f>
        <v>10127.200000000001</v>
      </c>
      <c r="E52" s="157">
        <f t="shared" si="37"/>
        <v>11166.899999999989</v>
      </c>
      <c r="F52" s="157">
        <f t="shared" si="37"/>
        <v>10623.800000000003</v>
      </c>
      <c r="G52" s="157">
        <f t="shared" si="37"/>
        <v>7102.800000000002</v>
      </c>
      <c r="H52" s="157">
        <f t="shared" si="37"/>
        <v>5321.0000000000018</v>
      </c>
      <c r="I52" s="157">
        <f t="shared" si="37"/>
        <v>4697.2000000000144</v>
      </c>
      <c r="J52" s="157">
        <f t="shared" si="37"/>
        <v>10438.200000000004</v>
      </c>
      <c r="K52" s="157">
        <f t="shared" si="37"/>
        <v>17424.500000000015</v>
      </c>
      <c r="L52" s="157">
        <f t="shared" si="37"/>
        <v>19619.999999999993</v>
      </c>
      <c r="M52" s="165">
        <f>M39-M40+M46</f>
        <v>22305.868772883015</v>
      </c>
      <c r="N52" s="165">
        <f t="shared" ref="N52:O52" si="38">N39-N40+N46</f>
        <v>25371.976385620554</v>
      </c>
      <c r="O52" s="165">
        <f t="shared" si="38"/>
        <v>28871.57198878342</v>
      </c>
    </row>
    <row r="53" spans="2:15" x14ac:dyDescent="0.25">
      <c r="B53" t="s">
        <v>39</v>
      </c>
      <c r="C53" s="156">
        <f>'Data Sheet'!B29</f>
        <v>2087.5</v>
      </c>
      <c r="D53" s="156">
        <f>'Data Sheet'!C29</f>
        <v>2616.1999999999998</v>
      </c>
      <c r="E53" s="156">
        <f>'Data Sheet'!D29</f>
        <v>3286.2</v>
      </c>
      <c r="F53" s="156">
        <f>'Data Sheet'!E29</f>
        <v>2973.2</v>
      </c>
      <c r="G53" s="156">
        <f>'Data Sheet'!F29</f>
        <v>1425.2</v>
      </c>
      <c r="H53" s="156">
        <f>'Data Sheet'!G29</f>
        <v>931.9</v>
      </c>
      <c r="I53" s="156">
        <f>'Data Sheet'!H29</f>
        <v>817.7</v>
      </c>
      <c r="J53" s="156">
        <f>'Data Sheet'!I29</f>
        <v>2174.5</v>
      </c>
      <c r="K53" s="156">
        <f>'Data Sheet'!J29</f>
        <v>3936.3</v>
      </c>
      <c r="L53" s="156">
        <f>'Data Sheet'!K29</f>
        <v>5119.8</v>
      </c>
      <c r="M53" s="163">
        <f>M52*M55</f>
        <v>6363.3047076140601</v>
      </c>
      <c r="N53" s="163">
        <f t="shared" ref="N53:O53" si="39">N52*N55</f>
        <v>7237.9882810197669</v>
      </c>
      <c r="O53" s="163">
        <f t="shared" si="39"/>
        <v>8236.3351018987596</v>
      </c>
    </row>
    <row r="54" spans="2:15" hidden="1" outlineLevel="1" x14ac:dyDescent="0.25">
      <c r="B54" s="143" t="s">
        <v>202</v>
      </c>
      <c r="C54" s="160">
        <f>C53/C52</f>
        <v>0.27522512426331974</v>
      </c>
      <c r="D54" s="160">
        <f t="shared" ref="D54:L54" si="40">D53/D52</f>
        <v>0.25833399162651077</v>
      </c>
      <c r="E54" s="160">
        <f t="shared" si="40"/>
        <v>0.29428041802111626</v>
      </c>
      <c r="F54" s="160">
        <f t="shared" si="40"/>
        <v>0.27986219620098263</v>
      </c>
      <c r="G54" s="160">
        <f t="shared" si="40"/>
        <v>0.20065326350171758</v>
      </c>
      <c r="H54" s="160">
        <f t="shared" si="40"/>
        <v>0.17513625258410068</v>
      </c>
      <c r="I54" s="160">
        <f t="shared" si="40"/>
        <v>0.17408243208720037</v>
      </c>
      <c r="J54" s="160">
        <f t="shared" si="40"/>
        <v>0.20832135808855926</v>
      </c>
      <c r="K54" s="160">
        <f t="shared" si="40"/>
        <v>0.22590605182358156</v>
      </c>
      <c r="L54" s="160">
        <f t="shared" si="40"/>
        <v>0.26094801223241598</v>
      </c>
      <c r="M54" s="149">
        <f>CHOOSE($C$7,M55,M56,M57)</f>
        <v>0.23527491004295045</v>
      </c>
      <c r="N54" s="149">
        <f t="shared" ref="N54:O54" si="41">CHOOSE($C$7,N55,N56,N57)</f>
        <v>0.23527491004295045</v>
      </c>
      <c r="O54" s="149">
        <f t="shared" si="41"/>
        <v>0.23527491004295045</v>
      </c>
    </row>
    <row r="55" spans="2:15" hidden="1" outlineLevel="1" x14ac:dyDescent="0.25">
      <c r="B55" s="143" t="s">
        <v>198</v>
      </c>
      <c r="C55" s="143"/>
      <c r="D55" s="146"/>
      <c r="E55" s="146"/>
      <c r="F55" s="146"/>
      <c r="G55" s="146"/>
      <c r="H55" s="146"/>
      <c r="I55" s="146"/>
      <c r="J55" s="146"/>
      <c r="K55" s="146"/>
      <c r="L55" s="146"/>
      <c r="M55" s="150">
        <f>M56+$F$4</f>
        <v>0.28527491004295047</v>
      </c>
      <c r="N55" s="150">
        <f t="shared" ref="N55:O55" si="42">N56+$F$4</f>
        <v>0.28527491004295047</v>
      </c>
      <c r="O55" s="150">
        <f t="shared" si="42"/>
        <v>0.28527491004295047</v>
      </c>
    </row>
    <row r="56" spans="2:15" hidden="1" outlineLevel="1" x14ac:dyDescent="0.25">
      <c r="B56" s="143" t="s">
        <v>199</v>
      </c>
      <c r="C56" s="143"/>
      <c r="D56" s="146"/>
      <c r="E56" s="146"/>
      <c r="F56" s="146"/>
      <c r="G56" s="146"/>
      <c r="H56" s="146"/>
      <c r="I56" s="146"/>
      <c r="J56" s="146"/>
      <c r="K56" s="146"/>
      <c r="L56" s="146"/>
      <c r="M56" s="150">
        <f>AVERAGE(C54:L54)</f>
        <v>0.23527491004295045</v>
      </c>
      <c r="N56" s="150">
        <f>M56</f>
        <v>0.23527491004295045</v>
      </c>
      <c r="O56" s="150">
        <f>N56</f>
        <v>0.23527491004295045</v>
      </c>
    </row>
    <row r="57" spans="2:15" hidden="1" outlineLevel="1" x14ac:dyDescent="0.25">
      <c r="B57" s="143" t="s">
        <v>200</v>
      </c>
      <c r="C57" s="143"/>
      <c r="D57" s="146"/>
      <c r="E57" s="146"/>
      <c r="F57" s="146"/>
      <c r="G57" s="146"/>
      <c r="H57" s="146"/>
      <c r="I57" s="146"/>
      <c r="J57" s="146"/>
      <c r="K57" s="146"/>
      <c r="L57" s="146"/>
      <c r="M57" s="150">
        <f>M56-$F$3</f>
        <v>0.19527491004295044</v>
      </c>
      <c r="N57" s="150">
        <f t="shared" ref="N57:O57" si="43">N56-$F$3</f>
        <v>0.19527491004295044</v>
      </c>
      <c r="O57" s="150">
        <f t="shared" si="43"/>
        <v>0.19527491004295044</v>
      </c>
    </row>
    <row r="58" spans="2:15" hidden="1" outlineLevel="1" x14ac:dyDescent="0.25">
      <c r="M58" s="145"/>
      <c r="N58" s="145"/>
      <c r="O58" s="145"/>
    </row>
    <row r="59" spans="2:15" ht="15.75" collapsed="1" thickBot="1" x14ac:dyDescent="0.3">
      <c r="B59" s="105" t="s">
        <v>125</v>
      </c>
      <c r="C59" s="161">
        <f>C52-C53</f>
        <v>5497.1999999999953</v>
      </c>
      <c r="D59" s="161">
        <f t="shared" ref="D59:L59" si="44">D52-D53</f>
        <v>7511.0000000000009</v>
      </c>
      <c r="E59" s="161">
        <f t="shared" si="44"/>
        <v>7880.6999999999889</v>
      </c>
      <c r="F59" s="161">
        <f t="shared" si="44"/>
        <v>7650.6000000000031</v>
      </c>
      <c r="G59" s="161">
        <f t="shared" si="44"/>
        <v>5677.6000000000022</v>
      </c>
      <c r="H59" s="161">
        <f t="shared" si="44"/>
        <v>4389.1000000000022</v>
      </c>
      <c r="I59" s="161">
        <f t="shared" si="44"/>
        <v>3879.5000000000146</v>
      </c>
      <c r="J59" s="161">
        <f t="shared" si="44"/>
        <v>8263.7000000000044</v>
      </c>
      <c r="K59" s="161">
        <f t="shared" si="44"/>
        <v>13488.200000000015</v>
      </c>
      <c r="L59" s="161">
        <f t="shared" si="44"/>
        <v>14500.199999999993</v>
      </c>
      <c r="M59" s="166">
        <f>M52-M53</f>
        <v>15942.564065268954</v>
      </c>
      <c r="N59" s="166">
        <f t="shared" ref="N59:O59" si="45">N52-N53</f>
        <v>18133.988104600787</v>
      </c>
      <c r="O59" s="166">
        <f t="shared" si="45"/>
        <v>20635.236886884661</v>
      </c>
    </row>
    <row r="60" spans="2:15" ht="15.75" thickTop="1" x14ac:dyDescent="0.25"/>
  </sheetData>
  <mergeCells count="2">
    <mergeCell ref="B10:L10"/>
    <mergeCell ref="M10:O10"/>
  </mergeCells>
  <dataValidations count="1">
    <dataValidation type="list" allowBlank="1" showInputMessage="1" showErrorMessage="1" sqref="C7">
      <formula1>"1,2,3"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Historical Financials</vt:lpstr>
      <vt:lpstr>Comparative Analysis</vt:lpstr>
      <vt:lpstr>Common Size Statement</vt:lpstr>
      <vt:lpstr>Ratio Analysis</vt:lpstr>
      <vt:lpstr>Cash Flow</vt:lpstr>
      <vt:lpstr>Rough Sheet</vt:lpstr>
      <vt:lpstr>Data Sheet</vt:lpstr>
      <vt:lpstr>DuPoint Analysis</vt:lpstr>
      <vt:lpstr>Altman Z Score</vt:lpstr>
      <vt:lpstr>Linear Forecasting</vt:lpstr>
      <vt:lpstr>Scenario Analysis 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 </cp:lastModifiedBy>
  <dcterms:created xsi:type="dcterms:W3CDTF">2025-06-21T16:41:17Z</dcterms:created>
  <dcterms:modified xsi:type="dcterms:W3CDTF">2025-10-28T14:44:35Z</dcterms:modified>
</cp:coreProperties>
</file>